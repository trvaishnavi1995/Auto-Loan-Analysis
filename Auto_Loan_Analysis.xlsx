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Yearly Summary" sheetId="2" state="visible" r:id="rId4"/>
    <sheet name="Monthly Trend" sheetId="3" state="visible" r:id="rId5"/>
    <sheet name="KPI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<sst xmlns="http://schemas.openxmlformats.org/spreadsheetml/2006/main" count="968" uniqueCount="495">
  <si>
    <t xml:space="preserve">📊 CFPB Auto Loan Origination Data – Monthly (2006–2025)</t>
  </si>
  <si>
    <t xml:space="preserve">Month Index</t>
  </si>
  <si>
    <t xml:space="preserve">Date</t>
  </si>
  <si>
    <t xml:space="preserve">Month Label</t>
  </si>
  <si>
    <t xml:space="preserve">Seasonally Adj. Originations</t>
  </si>
  <si>
    <t xml:space="preserve">Unadjusted Originations</t>
  </si>
  <si>
    <t xml:space="preserve">Year</t>
  </si>
  <si>
    <t xml:space="preserve">2006-01</t>
  </si>
  <si>
    <t xml:space="preserve">Jan-2006</t>
  </si>
  <si>
    <t xml:space="preserve">2006-02</t>
  </si>
  <si>
    <t xml:space="preserve">Feb-2006</t>
  </si>
  <si>
    <t xml:space="preserve">2006-03</t>
  </si>
  <si>
    <t xml:space="preserve">Mar-2006</t>
  </si>
  <si>
    <t xml:space="preserve">2006-04</t>
  </si>
  <si>
    <t xml:space="preserve">Apr-2006</t>
  </si>
  <si>
    <t xml:space="preserve">2006-05</t>
  </si>
  <si>
    <t xml:space="preserve">May-2006</t>
  </si>
  <si>
    <t xml:space="preserve">2006-06</t>
  </si>
  <si>
    <t xml:space="preserve">Jun-2006</t>
  </si>
  <si>
    <t xml:space="preserve">2006-07</t>
  </si>
  <si>
    <t xml:space="preserve">Jul-2006</t>
  </si>
  <si>
    <t xml:space="preserve">2006-08</t>
  </si>
  <si>
    <t xml:space="preserve">Aug-2006</t>
  </si>
  <si>
    <t xml:space="preserve">2006-09</t>
  </si>
  <si>
    <t xml:space="preserve">Sep-2006</t>
  </si>
  <si>
    <t xml:space="preserve">2006-10</t>
  </si>
  <si>
    <t xml:space="preserve">Oct-2006</t>
  </si>
  <si>
    <t xml:space="preserve">2006-11</t>
  </si>
  <si>
    <t xml:space="preserve">Nov-2006</t>
  </si>
  <si>
    <t xml:space="preserve">2006-12</t>
  </si>
  <si>
    <t xml:space="preserve">Dec-2006</t>
  </si>
  <si>
    <t xml:space="preserve">2007-01</t>
  </si>
  <si>
    <t xml:space="preserve">Jan-2007</t>
  </si>
  <si>
    <t xml:space="preserve">2007-02</t>
  </si>
  <si>
    <t xml:space="preserve">Feb-2007</t>
  </si>
  <si>
    <t xml:space="preserve">2007-03</t>
  </si>
  <si>
    <t xml:space="preserve">Mar-2007</t>
  </si>
  <si>
    <t xml:space="preserve">2007-04</t>
  </si>
  <si>
    <t xml:space="preserve">Apr-2007</t>
  </si>
  <si>
    <t xml:space="preserve">2007-05</t>
  </si>
  <si>
    <t xml:space="preserve">May-2007</t>
  </si>
  <si>
    <t xml:space="preserve">2007-06</t>
  </si>
  <si>
    <t xml:space="preserve">Jun-2007</t>
  </si>
  <si>
    <t xml:space="preserve">2007-07</t>
  </si>
  <si>
    <t xml:space="preserve">Jul-2007</t>
  </si>
  <si>
    <t xml:space="preserve">2007-08</t>
  </si>
  <si>
    <t xml:space="preserve">Aug-2007</t>
  </si>
  <si>
    <t xml:space="preserve">2007-09</t>
  </si>
  <si>
    <t xml:space="preserve">Sep-2007</t>
  </si>
  <si>
    <t xml:space="preserve">2007-10</t>
  </si>
  <si>
    <t xml:space="preserve">Oct-2007</t>
  </si>
  <si>
    <t xml:space="preserve">2007-11</t>
  </si>
  <si>
    <t xml:space="preserve">Nov-2007</t>
  </si>
  <si>
    <t xml:space="preserve">2007-12</t>
  </si>
  <si>
    <t xml:space="preserve">Dec-2007</t>
  </si>
  <si>
    <t xml:space="preserve">2008-01</t>
  </si>
  <si>
    <t xml:space="preserve">Jan-2008</t>
  </si>
  <si>
    <t xml:space="preserve">2008-02</t>
  </si>
  <si>
    <t xml:space="preserve">Feb-2008</t>
  </si>
  <si>
    <t xml:space="preserve">2008-03</t>
  </si>
  <si>
    <t xml:space="preserve">Mar-2008</t>
  </si>
  <si>
    <t xml:space="preserve">2008-04</t>
  </si>
  <si>
    <t xml:space="preserve">Apr-2008</t>
  </si>
  <si>
    <t xml:space="preserve">2008-05</t>
  </si>
  <si>
    <t xml:space="preserve">May-2008</t>
  </si>
  <si>
    <t xml:space="preserve">2008-06</t>
  </si>
  <si>
    <t xml:space="preserve">Jun-2008</t>
  </si>
  <si>
    <t xml:space="preserve">2008-07</t>
  </si>
  <si>
    <t xml:space="preserve">Jul-2008</t>
  </si>
  <si>
    <t xml:space="preserve">2008-08</t>
  </si>
  <si>
    <t xml:space="preserve">Aug-2008</t>
  </si>
  <si>
    <t xml:space="preserve">2008-09</t>
  </si>
  <si>
    <t xml:space="preserve">Sep-2008</t>
  </si>
  <si>
    <t xml:space="preserve">2008-10</t>
  </si>
  <si>
    <t xml:space="preserve">Oct-2008</t>
  </si>
  <si>
    <t xml:space="preserve">2008-11</t>
  </si>
  <si>
    <t xml:space="preserve">Nov-2008</t>
  </si>
  <si>
    <t xml:space="preserve">2008-12</t>
  </si>
  <si>
    <t xml:space="preserve">Dec-2008</t>
  </si>
  <si>
    <t xml:space="preserve">2009-01</t>
  </si>
  <si>
    <t xml:space="preserve">Jan-2009</t>
  </si>
  <si>
    <t xml:space="preserve">2009-02</t>
  </si>
  <si>
    <t xml:space="preserve">Feb-2009</t>
  </si>
  <si>
    <t xml:space="preserve">2009-03</t>
  </si>
  <si>
    <t xml:space="preserve">Mar-2009</t>
  </si>
  <si>
    <t xml:space="preserve">2009-04</t>
  </si>
  <si>
    <t xml:space="preserve">Apr-2009</t>
  </si>
  <si>
    <t xml:space="preserve">2009-05</t>
  </si>
  <si>
    <t xml:space="preserve">May-2009</t>
  </si>
  <si>
    <t xml:space="preserve">2009-06</t>
  </si>
  <si>
    <t xml:space="preserve">Jun-2009</t>
  </si>
  <si>
    <t xml:space="preserve">2009-07</t>
  </si>
  <si>
    <t xml:space="preserve">Jul-2009</t>
  </si>
  <si>
    <t xml:space="preserve">2009-08</t>
  </si>
  <si>
    <t xml:space="preserve">Aug-2009</t>
  </si>
  <si>
    <t xml:space="preserve">2009-09</t>
  </si>
  <si>
    <t xml:space="preserve">Sep-2009</t>
  </si>
  <si>
    <t xml:space="preserve">2009-10</t>
  </si>
  <si>
    <t xml:space="preserve">Oct-2009</t>
  </si>
  <si>
    <t xml:space="preserve">2009-11</t>
  </si>
  <si>
    <t xml:space="preserve">Nov-2009</t>
  </si>
  <si>
    <t xml:space="preserve">2009-12</t>
  </si>
  <si>
    <t xml:space="preserve">Dec-2009</t>
  </si>
  <si>
    <t xml:space="preserve">2010-01</t>
  </si>
  <si>
    <t xml:space="preserve">Jan-2010</t>
  </si>
  <si>
    <t xml:space="preserve">2010-02</t>
  </si>
  <si>
    <t xml:space="preserve">Feb-2010</t>
  </si>
  <si>
    <t xml:space="preserve">2010-03</t>
  </si>
  <si>
    <t xml:space="preserve">Mar-2010</t>
  </si>
  <si>
    <t xml:space="preserve">2010-04</t>
  </si>
  <si>
    <t xml:space="preserve">Apr-2010</t>
  </si>
  <si>
    <t xml:space="preserve">2010-05</t>
  </si>
  <si>
    <t xml:space="preserve">May-2010</t>
  </si>
  <si>
    <t xml:space="preserve">2010-06</t>
  </si>
  <si>
    <t xml:space="preserve">Jun-2010</t>
  </si>
  <si>
    <t xml:space="preserve">2010-07</t>
  </si>
  <si>
    <t xml:space="preserve">Jul-2010</t>
  </si>
  <si>
    <t xml:space="preserve">2010-08</t>
  </si>
  <si>
    <t xml:space="preserve">Aug-2010</t>
  </si>
  <si>
    <t xml:space="preserve">2010-09</t>
  </si>
  <si>
    <t xml:space="preserve">Sep-2010</t>
  </si>
  <si>
    <t xml:space="preserve">2010-10</t>
  </si>
  <si>
    <t xml:space="preserve">Oct-2010</t>
  </si>
  <si>
    <t xml:space="preserve">2010-11</t>
  </si>
  <si>
    <t xml:space="preserve">Nov-2010</t>
  </si>
  <si>
    <t xml:space="preserve">2010-12</t>
  </si>
  <si>
    <t xml:space="preserve">Dec-2010</t>
  </si>
  <si>
    <t xml:space="preserve">2011-01</t>
  </si>
  <si>
    <t xml:space="preserve">Jan-2011</t>
  </si>
  <si>
    <t xml:space="preserve">2011-02</t>
  </si>
  <si>
    <t xml:space="preserve">Feb-2011</t>
  </si>
  <si>
    <t xml:space="preserve">2011-03</t>
  </si>
  <si>
    <t xml:space="preserve">Mar-2011</t>
  </si>
  <si>
    <t xml:space="preserve">2011-04</t>
  </si>
  <si>
    <t xml:space="preserve">Apr-2011</t>
  </si>
  <si>
    <t xml:space="preserve">2011-05</t>
  </si>
  <si>
    <t xml:space="preserve">May-2011</t>
  </si>
  <si>
    <t xml:space="preserve">2011-06</t>
  </si>
  <si>
    <t xml:space="preserve">Jun-2011</t>
  </si>
  <si>
    <t xml:space="preserve">2011-07</t>
  </si>
  <si>
    <t xml:space="preserve">Jul-2011</t>
  </si>
  <si>
    <t xml:space="preserve">2011-08</t>
  </si>
  <si>
    <t xml:space="preserve">Aug-2011</t>
  </si>
  <si>
    <t xml:space="preserve">2011-09</t>
  </si>
  <si>
    <t xml:space="preserve">Sep-2011</t>
  </si>
  <si>
    <t xml:space="preserve">2011-10</t>
  </si>
  <si>
    <t xml:space="preserve">Oct-2011</t>
  </si>
  <si>
    <t xml:space="preserve">2011-11</t>
  </si>
  <si>
    <t xml:space="preserve">Nov-2011</t>
  </si>
  <si>
    <t xml:space="preserve">2011-12</t>
  </si>
  <si>
    <t xml:space="preserve">Dec-2011</t>
  </si>
  <si>
    <t xml:space="preserve">2012-01</t>
  </si>
  <si>
    <t xml:space="preserve">Jan-2012</t>
  </si>
  <si>
    <t xml:space="preserve">2012-02</t>
  </si>
  <si>
    <t xml:space="preserve">Feb-2012</t>
  </si>
  <si>
    <t xml:space="preserve">2012-03</t>
  </si>
  <si>
    <t xml:space="preserve">Mar-2012</t>
  </si>
  <si>
    <t xml:space="preserve">2012-04</t>
  </si>
  <si>
    <t xml:space="preserve">Apr-2012</t>
  </si>
  <si>
    <t xml:space="preserve">2012-05</t>
  </si>
  <si>
    <t xml:space="preserve">May-2012</t>
  </si>
  <si>
    <t xml:space="preserve">2012-06</t>
  </si>
  <si>
    <t xml:space="preserve">Jun-2012</t>
  </si>
  <si>
    <t xml:space="preserve">2012-07</t>
  </si>
  <si>
    <t xml:space="preserve">Jul-2012</t>
  </si>
  <si>
    <t xml:space="preserve">2012-08</t>
  </si>
  <si>
    <t xml:space="preserve">Aug-2012</t>
  </si>
  <si>
    <t xml:space="preserve">2012-09</t>
  </si>
  <si>
    <t xml:space="preserve">Sep-2012</t>
  </si>
  <si>
    <t xml:space="preserve">2012-10</t>
  </si>
  <si>
    <t xml:space="preserve">Oct-2012</t>
  </si>
  <si>
    <t xml:space="preserve">2012-11</t>
  </si>
  <si>
    <t xml:space="preserve">Nov-2012</t>
  </si>
  <si>
    <t xml:space="preserve">2012-12</t>
  </si>
  <si>
    <t xml:space="preserve">Dec-2012</t>
  </si>
  <si>
    <t xml:space="preserve">2013-01</t>
  </si>
  <si>
    <t xml:space="preserve">Jan-2013</t>
  </si>
  <si>
    <t xml:space="preserve">2013-02</t>
  </si>
  <si>
    <t xml:space="preserve">Feb-2013</t>
  </si>
  <si>
    <t xml:space="preserve">2013-03</t>
  </si>
  <si>
    <t xml:space="preserve">Mar-2013</t>
  </si>
  <si>
    <t xml:space="preserve">2013-04</t>
  </si>
  <si>
    <t xml:space="preserve">Apr-2013</t>
  </si>
  <si>
    <t xml:space="preserve">2013-05</t>
  </si>
  <si>
    <t xml:space="preserve">May-2013</t>
  </si>
  <si>
    <t xml:space="preserve">2013-06</t>
  </si>
  <si>
    <t xml:space="preserve">Jun-2013</t>
  </si>
  <si>
    <t xml:space="preserve">2013-07</t>
  </si>
  <si>
    <t xml:space="preserve">Jul-2013</t>
  </si>
  <si>
    <t xml:space="preserve">2013-08</t>
  </si>
  <si>
    <t xml:space="preserve">Aug-2013</t>
  </si>
  <si>
    <t xml:space="preserve">2013-09</t>
  </si>
  <si>
    <t xml:space="preserve">Sep-2013</t>
  </si>
  <si>
    <t xml:space="preserve">2013-10</t>
  </si>
  <si>
    <t xml:space="preserve">Oct-2013</t>
  </si>
  <si>
    <t xml:space="preserve">2013-11</t>
  </si>
  <si>
    <t xml:space="preserve">Nov-2013</t>
  </si>
  <si>
    <t xml:space="preserve">2013-12</t>
  </si>
  <si>
    <t xml:space="preserve">Dec-2013</t>
  </si>
  <si>
    <t xml:space="preserve">2014-01</t>
  </si>
  <si>
    <t xml:space="preserve">Jan-2014</t>
  </si>
  <si>
    <t xml:space="preserve">2014-02</t>
  </si>
  <si>
    <t xml:space="preserve">Feb-2014</t>
  </si>
  <si>
    <t xml:space="preserve">2014-03</t>
  </si>
  <si>
    <t xml:space="preserve">Mar-2014</t>
  </si>
  <si>
    <t xml:space="preserve">2014-04</t>
  </si>
  <si>
    <t xml:space="preserve">Apr-2014</t>
  </si>
  <si>
    <t xml:space="preserve">2014-05</t>
  </si>
  <si>
    <t xml:space="preserve">May-2014</t>
  </si>
  <si>
    <t xml:space="preserve">2014-06</t>
  </si>
  <si>
    <t xml:space="preserve">Jun-2014</t>
  </si>
  <si>
    <t xml:space="preserve">2014-07</t>
  </si>
  <si>
    <t xml:space="preserve">Jul-2014</t>
  </si>
  <si>
    <t xml:space="preserve">2014-08</t>
  </si>
  <si>
    <t xml:space="preserve">Aug-2014</t>
  </si>
  <si>
    <t xml:space="preserve">2014-09</t>
  </si>
  <si>
    <t xml:space="preserve">Sep-2014</t>
  </si>
  <si>
    <t xml:space="preserve">2014-10</t>
  </si>
  <si>
    <t xml:space="preserve">Oct-2014</t>
  </si>
  <si>
    <t xml:space="preserve">2014-11</t>
  </si>
  <si>
    <t xml:space="preserve">Nov-2014</t>
  </si>
  <si>
    <t xml:space="preserve">2014-12</t>
  </si>
  <si>
    <t xml:space="preserve">Dec-2014</t>
  </si>
  <si>
    <t xml:space="preserve">2015-01</t>
  </si>
  <si>
    <t xml:space="preserve">Jan-2015</t>
  </si>
  <si>
    <t xml:space="preserve">2015-02</t>
  </si>
  <si>
    <t xml:space="preserve">Feb-2015</t>
  </si>
  <si>
    <t xml:space="preserve">2015-03</t>
  </si>
  <si>
    <t xml:space="preserve">Mar-2015</t>
  </si>
  <si>
    <t xml:space="preserve">2015-04</t>
  </si>
  <si>
    <t xml:space="preserve">Apr-2015</t>
  </si>
  <si>
    <t xml:space="preserve">2015-05</t>
  </si>
  <si>
    <t xml:space="preserve">May-2015</t>
  </si>
  <si>
    <t xml:space="preserve">2015-06</t>
  </si>
  <si>
    <t xml:space="preserve">Jun-2015</t>
  </si>
  <si>
    <t xml:space="preserve">2015-07</t>
  </si>
  <si>
    <t xml:space="preserve">Jul-2015</t>
  </si>
  <si>
    <t xml:space="preserve">2015-08</t>
  </si>
  <si>
    <t xml:space="preserve">Aug-2015</t>
  </si>
  <si>
    <t xml:space="preserve">2015-09</t>
  </si>
  <si>
    <t xml:space="preserve">Sep-2015</t>
  </si>
  <si>
    <t xml:space="preserve">2015-10</t>
  </si>
  <si>
    <t xml:space="preserve">Oct-2015</t>
  </si>
  <si>
    <t xml:space="preserve">2015-11</t>
  </si>
  <si>
    <t xml:space="preserve">Nov-2015</t>
  </si>
  <si>
    <t xml:space="preserve">2015-12</t>
  </si>
  <si>
    <t xml:space="preserve">Dec-2015</t>
  </si>
  <si>
    <t xml:space="preserve">2016-01</t>
  </si>
  <si>
    <t xml:space="preserve">Jan-2016</t>
  </si>
  <si>
    <t xml:space="preserve">2016-02</t>
  </si>
  <si>
    <t xml:space="preserve">Feb-2016</t>
  </si>
  <si>
    <t xml:space="preserve">2016-03</t>
  </si>
  <si>
    <t xml:space="preserve">Mar-2016</t>
  </si>
  <si>
    <t xml:space="preserve">2016-04</t>
  </si>
  <si>
    <t xml:space="preserve">Apr-2016</t>
  </si>
  <si>
    <t xml:space="preserve">2016-05</t>
  </si>
  <si>
    <t xml:space="preserve">May-2016</t>
  </si>
  <si>
    <t xml:space="preserve">2016-06</t>
  </si>
  <si>
    <t xml:space="preserve">Jun-2016</t>
  </si>
  <si>
    <t xml:space="preserve">2016-07</t>
  </si>
  <si>
    <t xml:space="preserve">Jul-2016</t>
  </si>
  <si>
    <t xml:space="preserve">2016-08</t>
  </si>
  <si>
    <t xml:space="preserve">Aug-2016</t>
  </si>
  <si>
    <t xml:space="preserve">2016-09</t>
  </si>
  <si>
    <t xml:space="preserve">Sep-2016</t>
  </si>
  <si>
    <t xml:space="preserve">2016-10</t>
  </si>
  <si>
    <t xml:space="preserve">Oct-2016</t>
  </si>
  <si>
    <t xml:space="preserve">2016-11</t>
  </si>
  <si>
    <t xml:space="preserve">Nov-2016</t>
  </si>
  <si>
    <t xml:space="preserve">2016-12</t>
  </si>
  <si>
    <t xml:space="preserve">Dec-2016</t>
  </si>
  <si>
    <t xml:space="preserve">2017-01</t>
  </si>
  <si>
    <t xml:space="preserve">Jan-2017</t>
  </si>
  <si>
    <t xml:space="preserve">2017-02</t>
  </si>
  <si>
    <t xml:space="preserve">Feb-2017</t>
  </si>
  <si>
    <t xml:space="preserve">2017-03</t>
  </si>
  <si>
    <t xml:space="preserve">Mar-2017</t>
  </si>
  <si>
    <t xml:space="preserve">2017-04</t>
  </si>
  <si>
    <t xml:space="preserve">Apr-2017</t>
  </si>
  <si>
    <t xml:space="preserve">2017-05</t>
  </si>
  <si>
    <t xml:space="preserve">May-2017</t>
  </si>
  <si>
    <t xml:space="preserve">2017-06</t>
  </si>
  <si>
    <t xml:space="preserve">Jun-2017</t>
  </si>
  <si>
    <t xml:space="preserve">2017-07</t>
  </si>
  <si>
    <t xml:space="preserve">Jul-2017</t>
  </si>
  <si>
    <t xml:space="preserve">2017-08</t>
  </si>
  <si>
    <t xml:space="preserve">Aug-2017</t>
  </si>
  <si>
    <t xml:space="preserve">2017-09</t>
  </si>
  <si>
    <t xml:space="preserve">Sep-2017</t>
  </si>
  <si>
    <t xml:space="preserve">2017-10</t>
  </si>
  <si>
    <t xml:space="preserve">Oct-2017</t>
  </si>
  <si>
    <t xml:space="preserve">2017-11</t>
  </si>
  <si>
    <t xml:space="preserve">Nov-2017</t>
  </si>
  <si>
    <t xml:space="preserve">2017-12</t>
  </si>
  <si>
    <t xml:space="preserve">Dec-2017</t>
  </si>
  <si>
    <t xml:space="preserve">2018-01</t>
  </si>
  <si>
    <t xml:space="preserve">Jan-2018</t>
  </si>
  <si>
    <t xml:space="preserve">2018-02</t>
  </si>
  <si>
    <t xml:space="preserve">Feb-2018</t>
  </si>
  <si>
    <t xml:space="preserve">2018-03</t>
  </si>
  <si>
    <t xml:space="preserve">Mar-2018</t>
  </si>
  <si>
    <t xml:space="preserve">2018-04</t>
  </si>
  <si>
    <t xml:space="preserve">Apr-2018</t>
  </si>
  <si>
    <t xml:space="preserve">2018-05</t>
  </si>
  <si>
    <t xml:space="preserve">May-2018</t>
  </si>
  <si>
    <t xml:space="preserve">2018-06</t>
  </si>
  <si>
    <t xml:space="preserve">Jun-2018</t>
  </si>
  <si>
    <t xml:space="preserve">2018-07</t>
  </si>
  <si>
    <t xml:space="preserve">Jul-2018</t>
  </si>
  <si>
    <t xml:space="preserve">2018-08</t>
  </si>
  <si>
    <t xml:space="preserve">Aug-2018</t>
  </si>
  <si>
    <t xml:space="preserve">2018-09</t>
  </si>
  <si>
    <t xml:space="preserve">Sep-2018</t>
  </si>
  <si>
    <t xml:space="preserve">2018-10</t>
  </si>
  <si>
    <t xml:space="preserve">Oct-2018</t>
  </si>
  <si>
    <t xml:space="preserve">2018-11</t>
  </si>
  <si>
    <t xml:space="preserve">Nov-2018</t>
  </si>
  <si>
    <t xml:space="preserve">2018-12</t>
  </si>
  <si>
    <t xml:space="preserve">Dec-2018</t>
  </si>
  <si>
    <t xml:space="preserve">2019-01</t>
  </si>
  <si>
    <t xml:space="preserve">Jan-2019</t>
  </si>
  <si>
    <t xml:space="preserve">2019-02</t>
  </si>
  <si>
    <t xml:space="preserve">Feb-2019</t>
  </si>
  <si>
    <t xml:space="preserve">2019-03</t>
  </si>
  <si>
    <t xml:space="preserve">Mar-2019</t>
  </si>
  <si>
    <t xml:space="preserve">2019-04</t>
  </si>
  <si>
    <t xml:space="preserve">Apr-2019</t>
  </si>
  <si>
    <t xml:space="preserve">2019-05</t>
  </si>
  <si>
    <t xml:space="preserve">May-2019</t>
  </si>
  <si>
    <t xml:space="preserve">2019-06</t>
  </si>
  <si>
    <t xml:space="preserve">Jun-2019</t>
  </si>
  <si>
    <t xml:space="preserve">2019-07</t>
  </si>
  <si>
    <t xml:space="preserve">Jul-2019</t>
  </si>
  <si>
    <t xml:space="preserve">2019-08</t>
  </si>
  <si>
    <t xml:space="preserve">Aug-2019</t>
  </si>
  <si>
    <t xml:space="preserve">2019-09</t>
  </si>
  <si>
    <t xml:space="preserve">Sep-2019</t>
  </si>
  <si>
    <t xml:space="preserve">2019-10</t>
  </si>
  <si>
    <t xml:space="preserve">Oct-2019</t>
  </si>
  <si>
    <t xml:space="preserve">2019-11</t>
  </si>
  <si>
    <t xml:space="preserve">Nov-2019</t>
  </si>
  <si>
    <t xml:space="preserve">2019-12</t>
  </si>
  <si>
    <t xml:space="preserve">Dec-2019</t>
  </si>
  <si>
    <t xml:space="preserve">2020-01</t>
  </si>
  <si>
    <t xml:space="preserve">Jan-2020</t>
  </si>
  <si>
    <t xml:space="preserve">2020-02</t>
  </si>
  <si>
    <t xml:space="preserve">Feb-2020</t>
  </si>
  <si>
    <t xml:space="preserve">2020-03</t>
  </si>
  <si>
    <t xml:space="preserve">Mar-2020</t>
  </si>
  <si>
    <t xml:space="preserve">2020-04</t>
  </si>
  <si>
    <t xml:space="preserve">Apr-2020</t>
  </si>
  <si>
    <t xml:space="preserve">2020-05</t>
  </si>
  <si>
    <t xml:space="preserve">May-2020</t>
  </si>
  <si>
    <t xml:space="preserve">2020-06</t>
  </si>
  <si>
    <t xml:space="preserve">Jun-2020</t>
  </si>
  <si>
    <t xml:space="preserve">2020-07</t>
  </si>
  <si>
    <t xml:space="preserve">Jul-2020</t>
  </si>
  <si>
    <t xml:space="preserve">2020-08</t>
  </si>
  <si>
    <t xml:space="preserve">Aug-2020</t>
  </si>
  <si>
    <t xml:space="preserve">2020-09</t>
  </si>
  <si>
    <t xml:space="preserve">Sep-2020</t>
  </si>
  <si>
    <t xml:space="preserve">2020-10</t>
  </si>
  <si>
    <t xml:space="preserve">Oct-2020</t>
  </si>
  <si>
    <t xml:space="preserve">2020-11</t>
  </si>
  <si>
    <t xml:space="preserve">Nov-2020</t>
  </si>
  <si>
    <t xml:space="preserve">2020-12</t>
  </si>
  <si>
    <t xml:space="preserve">Dec-2020</t>
  </si>
  <si>
    <t xml:space="preserve">2021-01</t>
  </si>
  <si>
    <t xml:space="preserve">Jan-2021</t>
  </si>
  <si>
    <t xml:space="preserve">2021-02</t>
  </si>
  <si>
    <t xml:space="preserve">Feb-2021</t>
  </si>
  <si>
    <t xml:space="preserve">2021-03</t>
  </si>
  <si>
    <t xml:space="preserve">Mar-2021</t>
  </si>
  <si>
    <t xml:space="preserve">2021-04</t>
  </si>
  <si>
    <t xml:space="preserve">Apr-2021</t>
  </si>
  <si>
    <t xml:space="preserve">2021-05</t>
  </si>
  <si>
    <t xml:space="preserve">May-2021</t>
  </si>
  <si>
    <t xml:space="preserve">2021-06</t>
  </si>
  <si>
    <t xml:space="preserve">Jun-2021</t>
  </si>
  <si>
    <t xml:space="preserve">2021-07</t>
  </si>
  <si>
    <t xml:space="preserve">Jul-2021</t>
  </si>
  <si>
    <t xml:space="preserve">2021-08</t>
  </si>
  <si>
    <t xml:space="preserve">Aug-2021</t>
  </si>
  <si>
    <t xml:space="preserve">2021-09</t>
  </si>
  <si>
    <t xml:space="preserve">Sep-2021</t>
  </si>
  <si>
    <t xml:space="preserve">2021-10</t>
  </si>
  <si>
    <t xml:space="preserve">Oct-2021</t>
  </si>
  <si>
    <t xml:space="preserve">2021-11</t>
  </si>
  <si>
    <t xml:space="preserve">Nov-2021</t>
  </si>
  <si>
    <t xml:space="preserve">2021-12</t>
  </si>
  <si>
    <t xml:space="preserve">Dec-2021</t>
  </si>
  <si>
    <t xml:space="preserve">2022-01</t>
  </si>
  <si>
    <t xml:space="preserve">Jan-2022</t>
  </si>
  <si>
    <t xml:space="preserve">2022-02</t>
  </si>
  <si>
    <t xml:space="preserve">Feb-2022</t>
  </si>
  <si>
    <t xml:space="preserve">2022-03</t>
  </si>
  <si>
    <t xml:space="preserve">Mar-2022</t>
  </si>
  <si>
    <t xml:space="preserve">2022-04</t>
  </si>
  <si>
    <t xml:space="preserve">Apr-2022</t>
  </si>
  <si>
    <t xml:space="preserve">2022-05</t>
  </si>
  <si>
    <t xml:space="preserve">May-2022</t>
  </si>
  <si>
    <t xml:space="preserve">2022-06</t>
  </si>
  <si>
    <t xml:space="preserve">Jun-2022</t>
  </si>
  <si>
    <t xml:space="preserve">2022-07</t>
  </si>
  <si>
    <t xml:space="preserve">Jul-2022</t>
  </si>
  <si>
    <t xml:space="preserve">2022-08</t>
  </si>
  <si>
    <t xml:space="preserve">Aug-2022</t>
  </si>
  <si>
    <t xml:space="preserve">2022-09</t>
  </si>
  <si>
    <t xml:space="preserve">Sep-2022</t>
  </si>
  <si>
    <t xml:space="preserve">2022-10</t>
  </si>
  <si>
    <t xml:space="preserve">Oct-2022</t>
  </si>
  <si>
    <t xml:space="preserve">2022-11</t>
  </si>
  <si>
    <t xml:space="preserve">Nov-2022</t>
  </si>
  <si>
    <t xml:space="preserve">2022-12</t>
  </si>
  <si>
    <t xml:space="preserve">Dec-2022</t>
  </si>
  <si>
    <t xml:space="preserve">2023-01</t>
  </si>
  <si>
    <t xml:space="preserve">Jan-2023</t>
  </si>
  <si>
    <t xml:space="preserve">2023-02</t>
  </si>
  <si>
    <t xml:space="preserve">Feb-2023</t>
  </si>
  <si>
    <t xml:space="preserve">2023-03</t>
  </si>
  <si>
    <t xml:space="preserve">Mar-2023</t>
  </si>
  <si>
    <t xml:space="preserve">2023-04</t>
  </si>
  <si>
    <t xml:space="preserve">Apr-2023</t>
  </si>
  <si>
    <t xml:space="preserve">2023-05</t>
  </si>
  <si>
    <t xml:space="preserve">May-2023</t>
  </si>
  <si>
    <t xml:space="preserve">2023-06</t>
  </si>
  <si>
    <t xml:space="preserve">Jun-2023</t>
  </si>
  <si>
    <t xml:space="preserve">2023-07</t>
  </si>
  <si>
    <t xml:space="preserve">Jul-2023</t>
  </si>
  <si>
    <t xml:space="preserve">2023-08</t>
  </si>
  <si>
    <t xml:space="preserve">Aug-2023</t>
  </si>
  <si>
    <t xml:space="preserve">2023-09</t>
  </si>
  <si>
    <t xml:space="preserve">Sep-2023</t>
  </si>
  <si>
    <t xml:space="preserve">2023-10</t>
  </si>
  <si>
    <t xml:space="preserve">Oct-2023</t>
  </si>
  <si>
    <t xml:space="preserve">2023-11</t>
  </si>
  <si>
    <t xml:space="preserve">Nov-2023</t>
  </si>
  <si>
    <t xml:space="preserve">2023-12</t>
  </si>
  <si>
    <t xml:space="preserve">Dec-2023</t>
  </si>
  <si>
    <t xml:space="preserve">2024-01</t>
  </si>
  <si>
    <t xml:space="preserve">Jan-2024</t>
  </si>
  <si>
    <t xml:space="preserve">2024-02</t>
  </si>
  <si>
    <t xml:space="preserve">Feb-2024</t>
  </si>
  <si>
    <t xml:space="preserve">2024-03</t>
  </si>
  <si>
    <t xml:space="preserve">Mar-2024</t>
  </si>
  <si>
    <t xml:space="preserve">2024-04</t>
  </si>
  <si>
    <t xml:space="preserve">Apr-2024</t>
  </si>
  <si>
    <t xml:space="preserve">2024-05</t>
  </si>
  <si>
    <t xml:space="preserve">May-2024</t>
  </si>
  <si>
    <t xml:space="preserve">2024-06</t>
  </si>
  <si>
    <t xml:space="preserve">Jun-2024</t>
  </si>
  <si>
    <t xml:space="preserve">2024-07</t>
  </si>
  <si>
    <t xml:space="preserve">Jul-2024</t>
  </si>
  <si>
    <t xml:space="preserve">2024-08</t>
  </si>
  <si>
    <t xml:space="preserve">Aug-2024</t>
  </si>
  <si>
    <t xml:space="preserve">2024-09</t>
  </si>
  <si>
    <t xml:space="preserve">Sep-2024</t>
  </si>
  <si>
    <t xml:space="preserve">2024-10</t>
  </si>
  <si>
    <t xml:space="preserve">Oct-2024</t>
  </si>
  <si>
    <t xml:space="preserve">2024-11</t>
  </si>
  <si>
    <t xml:space="preserve">Nov-2024</t>
  </si>
  <si>
    <t xml:space="preserve">2024-12</t>
  </si>
  <si>
    <t xml:space="preserve">Dec-2024</t>
  </si>
  <si>
    <t xml:space="preserve">2025-01</t>
  </si>
  <si>
    <t xml:space="preserve">Jan-2025</t>
  </si>
  <si>
    <t xml:space="preserve">2025-02</t>
  </si>
  <si>
    <t xml:space="preserve">Feb-2025</t>
  </si>
  <si>
    <t xml:space="preserve">2025-03</t>
  </si>
  <si>
    <t xml:space="preserve">Mar-2025</t>
  </si>
  <si>
    <t xml:space="preserve">2025-04</t>
  </si>
  <si>
    <t xml:space="preserve">Apr-2025</t>
  </si>
  <si>
    <t xml:space="preserve">2025-05</t>
  </si>
  <si>
    <t xml:space="preserve">May-2025</t>
  </si>
  <si>
    <t xml:space="preserve">2025-06</t>
  </si>
  <si>
    <t xml:space="preserve">Jun-2025</t>
  </si>
  <si>
    <t xml:space="preserve">2025-07</t>
  </si>
  <si>
    <t xml:space="preserve">Jul-2025</t>
  </si>
  <si>
    <t xml:space="preserve">📅 Auto Loan Originations – Yearly Summary</t>
  </si>
  <si>
    <t xml:space="preserve">Total Adj. Originations</t>
  </si>
  <si>
    <t xml:space="preserve">Total Unadj. Originations</t>
  </si>
  <si>
    <t xml:space="preserve">Avg Monthly Adj.</t>
  </si>
  <si>
    <t xml:space="preserve">YoY Change (Adj)</t>
  </si>
  <si>
    <t xml:space="preserve">Data Points</t>
  </si>
  <si>
    <t xml:space="preserve">-</t>
  </si>
  <si>
    <t xml:space="preserve">TOTAL</t>
  </si>
  <si>
    <t xml:space="preserve">📈 Monthly Auto Loan Originations Trend</t>
  </si>
  <si>
    <t xml:space="preserve">Seasonally Adj.</t>
  </si>
  <si>
    <t xml:space="preserve">Unadjusted</t>
  </si>
  <si>
    <t xml:space="preserve">🏦 CFPB Auto Loan Originations – KPI Dashboard</t>
  </si>
  <si>
    <t xml:space="preserve">Total Originations (Adj.)</t>
  </si>
  <si>
    <t xml:space="preserve">Total Originations (Unadj.)</t>
  </si>
  <si>
    <t xml:space="preserve">Avg Monthly Originations</t>
  </si>
  <si>
    <t xml:space="preserve">Peak Month Originations</t>
  </si>
  <si>
    <t xml:space="preserve">Min Month Originations</t>
  </si>
  <si>
    <t xml:space="preserve">Total Months of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</si>
</sst>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D9D9D9"/>
      </patternFill>
    </fill>
    <fill>
      <patternFill patternType="solid">
        <fgColor rgb="FFF4B942"/>
        <bgColor rgb="FFFFCC99"/>
      </patternFill>
    </fill>
    <fill>
      <patternFill patternType="solid">
        <fgColor rgb="FF2E75B6"/>
        <bgColor rgb="FF4A7EBB"/>
      </patternFill>
    </fill>
    <fill>
      <patternFill patternType="solid">
        <fgColor rgb="FF1F8A70"/>
        <bgColor rgb="FF16A085"/>
      </patternFill>
    </fill>
    <fill>
      <patternFill patternType="solid">
        <fgColor rgb="FF8E44AD"/>
        <bgColor rgb="FFBE4B48"/>
      </patternFill>
    </fill>
    <fill>
      <patternFill patternType="solid">
        <fgColor rgb="FFE74C3C"/>
        <bgColor rgb="FFC0504D"/>
      </patternFill>
    </fill>
    <fill>
      <patternFill patternType="solid">
        <fgColor rgb="FFE67E22"/>
        <bgColor rgb="FFFF9900"/>
      </patternFill>
    </fill>
    <fill>
      <patternFill patternType="solid">
        <fgColor rgb="FF16A085"/>
        <bgColor rgb="FF1F8A7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BFBFBF"/>
      <rgbColor rgb="FF878787"/>
      <rgbColor rgb="FF9999FF"/>
      <rgbColor rgb="FF8E44AD"/>
      <rgbColor rgb="FFFFFFCC"/>
      <rgbColor rgb="FFD6E4F0"/>
      <rgbColor rgb="FF660066"/>
      <rgbColor rgb="FFE74C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E67E22"/>
      <rgbColor rgb="FF4A7EBB"/>
      <rgbColor rgb="FF4F81BD"/>
      <rgbColor rgb="FF1F3864"/>
      <rgbColor rgb="FF1F8A70"/>
      <rgbColor rgb="FF003300"/>
      <rgbColor rgb="FF333300"/>
      <rgbColor rgb="FFC0504D"/>
      <rgbColor rgb="FFBE4B4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Annual Auto Loan Originations (Adj. vs Unadj.)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'Yearly Summary'!B2</c:f>
              <c:strCache>
                <c:ptCount val="1"/>
                <c:pt idx="0">
                  <c:v>Total Adj. Originations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Summary'!$A$3:$A$22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'Yearly Summary'!$B$3:$B$22</c:f>
              <c:numCache>
                <c:formatCode>#,##0</c:formatCode>
                <c:ptCount val="20"/>
                <c:pt idx="0">
                  <c:v>22476400</c:v>
                </c:pt>
                <c:pt idx="1">
                  <c:v>22518115</c:v>
                </c:pt>
                <c:pt idx="2">
                  <c:v>19329201</c:v>
                </c:pt>
                <c:pt idx="3">
                  <c:v>15627212</c:v>
                </c:pt>
                <c:pt idx="4">
                  <c:v>17939700</c:v>
                </c:pt>
                <c:pt idx="5">
                  <c:v>20349986</c:v>
                </c:pt>
                <c:pt idx="6">
                  <c:v>22778017</c:v>
                </c:pt>
                <c:pt idx="7">
                  <c:v>24859518</c:v>
                </c:pt>
                <c:pt idx="8">
                  <c:v>26247841</c:v>
                </c:pt>
                <c:pt idx="9">
                  <c:v>27832893</c:v>
                </c:pt>
                <c:pt idx="10">
                  <c:v>28374071</c:v>
                </c:pt>
                <c:pt idx="11">
                  <c:v>27823592</c:v>
                </c:pt>
                <c:pt idx="12">
                  <c:v>28274432</c:v>
                </c:pt>
                <c:pt idx="13">
                  <c:v>29134178</c:v>
                </c:pt>
                <c:pt idx="14">
                  <c:v>27825122</c:v>
                </c:pt>
                <c:pt idx="15">
                  <c:v>30410142</c:v>
                </c:pt>
                <c:pt idx="16">
                  <c:v>26598179</c:v>
                </c:pt>
                <c:pt idx="17">
                  <c:v>24671659</c:v>
                </c:pt>
                <c:pt idx="18">
                  <c:v>25391275</c:v>
                </c:pt>
                <c:pt idx="19">
                  <c:v>15221865</c:v>
                </c:pt>
              </c:numCache>
            </c:numRef>
          </c:val>
        </c:ser>
        <c:ser>
          <c:idx val="1"/>
          <c:order val="1"/>
          <c:tx>
            <c:strRef>
              <c:f>'Yearly Summary'!C2</c:f>
              <c:strCache>
                <c:ptCount val="1"/>
                <c:pt idx="0">
                  <c:v>Total Unadj. Originations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Summary'!$A$3:$A$22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'Yearly Summary'!$C$3:$C$22</c:f>
              <c:numCache>
                <c:formatCode>#,##0</c:formatCode>
                <c:ptCount val="20"/>
                <c:pt idx="0">
                  <c:v>22470871</c:v>
                </c:pt>
                <c:pt idx="1">
                  <c:v>22513928</c:v>
                </c:pt>
                <c:pt idx="2">
                  <c:v>19420297</c:v>
                </c:pt>
                <c:pt idx="3">
                  <c:v>15649047</c:v>
                </c:pt>
                <c:pt idx="4">
                  <c:v>17950913</c:v>
                </c:pt>
                <c:pt idx="5">
                  <c:v>20324736</c:v>
                </c:pt>
                <c:pt idx="6">
                  <c:v>22781182</c:v>
                </c:pt>
                <c:pt idx="7">
                  <c:v>24874757</c:v>
                </c:pt>
                <c:pt idx="8">
                  <c:v>26264240</c:v>
                </c:pt>
                <c:pt idx="9">
                  <c:v>27854923</c:v>
                </c:pt>
                <c:pt idx="10">
                  <c:v>28364482</c:v>
                </c:pt>
                <c:pt idx="11">
                  <c:v>27816859</c:v>
                </c:pt>
                <c:pt idx="12">
                  <c:v>28262280</c:v>
                </c:pt>
                <c:pt idx="13">
                  <c:v>29111460</c:v>
                </c:pt>
                <c:pt idx="14">
                  <c:v>27671262</c:v>
                </c:pt>
                <c:pt idx="15">
                  <c:v>30477142</c:v>
                </c:pt>
                <c:pt idx="16">
                  <c:v>26616801</c:v>
                </c:pt>
                <c:pt idx="17">
                  <c:v>24655945</c:v>
                </c:pt>
                <c:pt idx="18">
                  <c:v>25365790</c:v>
                </c:pt>
                <c:pt idx="19">
                  <c:v>15532600</c:v>
                </c:pt>
              </c:numCache>
            </c:numRef>
          </c:val>
        </c:ser>
        <c:gapWidth val="150"/>
        <c:overlap val="0"/>
        <c:axId val="40815674"/>
        <c:axId val="40985676"/>
      </c:barChart>
      <c:catAx>
        <c:axId val="408156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85676"/>
        <c:crosses val="autoZero"/>
        <c:auto val="1"/>
        <c:lblAlgn val="ctr"/>
        <c:lblOffset val="100"/>
        <c:noMultiLvlLbl val="0"/>
      </c:catAx>
      <c:valAx>
        <c:axId val="40985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Originations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156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Auto Loan Originations (2006–2025)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Trend'!C2</c:f>
              <c:strCache>
                <c:ptCount val="1"/>
                <c:pt idx="0">
                  <c:v>Seasonally Adj.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Trend'!$A$3:$A$237</c:f>
              <c:strCache>
                <c:ptCount val="235"/>
                <c:pt idx="0">
                  <c:v>2006-01</c:v>
                </c:pt>
                <c:pt idx="1">
                  <c:v>2006-02</c:v>
                </c:pt>
                <c:pt idx="2">
                  <c:v>2006-03</c:v>
                </c:pt>
                <c:pt idx="3">
                  <c:v>2006-04</c:v>
                </c:pt>
                <c:pt idx="4">
                  <c:v>2006-05</c:v>
                </c:pt>
                <c:pt idx="5">
                  <c:v>2006-06</c:v>
                </c:pt>
                <c:pt idx="6">
                  <c:v>2006-07</c:v>
                </c:pt>
                <c:pt idx="7">
                  <c:v>2006-08</c:v>
                </c:pt>
                <c:pt idx="8">
                  <c:v>2006-09</c:v>
                </c:pt>
                <c:pt idx="9">
                  <c:v>2006-10</c:v>
                </c:pt>
                <c:pt idx="10">
                  <c:v>2006-11</c:v>
                </c:pt>
                <c:pt idx="11">
                  <c:v>2006-12</c:v>
                </c:pt>
                <c:pt idx="12">
                  <c:v>2007-01</c:v>
                </c:pt>
                <c:pt idx="13">
                  <c:v>2007-02</c:v>
                </c:pt>
                <c:pt idx="14">
                  <c:v>2007-03</c:v>
                </c:pt>
                <c:pt idx="15">
                  <c:v>2007-04</c:v>
                </c:pt>
                <c:pt idx="16">
                  <c:v>2007-05</c:v>
                </c:pt>
                <c:pt idx="17">
                  <c:v>2007-06</c:v>
                </c:pt>
                <c:pt idx="18">
                  <c:v>2007-07</c:v>
                </c:pt>
                <c:pt idx="19">
                  <c:v>2007-08</c:v>
                </c:pt>
                <c:pt idx="20">
                  <c:v>2007-09</c:v>
                </c:pt>
                <c:pt idx="21">
                  <c:v>2007-10</c:v>
                </c:pt>
                <c:pt idx="22">
                  <c:v>2007-11</c:v>
                </c:pt>
                <c:pt idx="23">
                  <c:v>2007-12</c:v>
                </c:pt>
                <c:pt idx="24">
                  <c:v>2008-01</c:v>
                </c:pt>
                <c:pt idx="25">
                  <c:v>2008-02</c:v>
                </c:pt>
                <c:pt idx="26">
                  <c:v>2008-03</c:v>
                </c:pt>
                <c:pt idx="27">
                  <c:v>2008-04</c:v>
                </c:pt>
                <c:pt idx="28">
                  <c:v>2008-05</c:v>
                </c:pt>
                <c:pt idx="29">
                  <c:v>2008-06</c:v>
                </c:pt>
                <c:pt idx="30">
                  <c:v>2008-07</c:v>
                </c:pt>
                <c:pt idx="31">
                  <c:v>2008-08</c:v>
                </c:pt>
                <c:pt idx="32">
                  <c:v>2008-09</c:v>
                </c:pt>
                <c:pt idx="33">
                  <c:v>2008-10</c:v>
                </c:pt>
                <c:pt idx="34">
                  <c:v>2008-11</c:v>
                </c:pt>
                <c:pt idx="35">
                  <c:v>2008-12</c:v>
                </c:pt>
                <c:pt idx="36">
                  <c:v>2009-01</c:v>
                </c:pt>
                <c:pt idx="37">
                  <c:v>2009-02</c:v>
                </c:pt>
                <c:pt idx="38">
                  <c:v>2009-03</c:v>
                </c:pt>
                <c:pt idx="39">
                  <c:v>2009-04</c:v>
                </c:pt>
                <c:pt idx="40">
                  <c:v>2009-05</c:v>
                </c:pt>
                <c:pt idx="41">
                  <c:v>2009-06</c:v>
                </c:pt>
                <c:pt idx="42">
                  <c:v>2009-07</c:v>
                </c:pt>
                <c:pt idx="43">
                  <c:v>2009-08</c:v>
                </c:pt>
                <c:pt idx="44">
                  <c:v>2009-09</c:v>
                </c:pt>
                <c:pt idx="45">
                  <c:v>2009-10</c:v>
                </c:pt>
                <c:pt idx="46">
                  <c:v>2009-11</c:v>
                </c:pt>
                <c:pt idx="47">
                  <c:v>2009-12</c:v>
                </c:pt>
                <c:pt idx="48">
                  <c:v>2010-01</c:v>
                </c:pt>
                <c:pt idx="49">
                  <c:v>2010-02</c:v>
                </c:pt>
                <c:pt idx="50">
                  <c:v>2010-03</c:v>
                </c:pt>
                <c:pt idx="51">
                  <c:v>2010-04</c:v>
                </c:pt>
                <c:pt idx="52">
                  <c:v>2010-05</c:v>
                </c:pt>
                <c:pt idx="53">
                  <c:v>2010-06</c:v>
                </c:pt>
                <c:pt idx="54">
                  <c:v>2010-07</c:v>
                </c:pt>
                <c:pt idx="55">
                  <c:v>2010-08</c:v>
                </c:pt>
                <c:pt idx="56">
                  <c:v>2010-09</c:v>
                </c:pt>
                <c:pt idx="57">
                  <c:v>2010-10</c:v>
                </c:pt>
                <c:pt idx="58">
                  <c:v>2010-11</c:v>
                </c:pt>
                <c:pt idx="59">
                  <c:v>2010-12</c:v>
                </c:pt>
                <c:pt idx="60">
                  <c:v>2011-01</c:v>
                </c:pt>
                <c:pt idx="61">
                  <c:v>2011-02</c:v>
                </c:pt>
                <c:pt idx="62">
                  <c:v>2011-03</c:v>
                </c:pt>
                <c:pt idx="63">
                  <c:v>2011-04</c:v>
                </c:pt>
                <c:pt idx="64">
                  <c:v>2011-05</c:v>
                </c:pt>
                <c:pt idx="65">
                  <c:v>2011-06</c:v>
                </c:pt>
                <c:pt idx="66">
                  <c:v>2011-07</c:v>
                </c:pt>
                <c:pt idx="67">
                  <c:v>2011-08</c:v>
                </c:pt>
                <c:pt idx="68">
                  <c:v>2011-09</c:v>
                </c:pt>
                <c:pt idx="69">
                  <c:v>2011-10</c:v>
                </c:pt>
                <c:pt idx="70">
                  <c:v>2011-11</c:v>
                </c:pt>
                <c:pt idx="71">
                  <c:v>2011-12</c:v>
                </c:pt>
                <c:pt idx="72">
                  <c:v>2012-01</c:v>
                </c:pt>
                <c:pt idx="73">
                  <c:v>2012-02</c:v>
                </c:pt>
                <c:pt idx="74">
                  <c:v>2012-03</c:v>
                </c:pt>
                <c:pt idx="75">
                  <c:v>2012-04</c:v>
                </c:pt>
                <c:pt idx="76">
                  <c:v>2012-05</c:v>
                </c:pt>
                <c:pt idx="77">
                  <c:v>2012-06</c:v>
                </c:pt>
                <c:pt idx="78">
                  <c:v>2012-07</c:v>
                </c:pt>
                <c:pt idx="79">
                  <c:v>2012-08</c:v>
                </c:pt>
                <c:pt idx="80">
                  <c:v>2012-09</c:v>
                </c:pt>
                <c:pt idx="81">
                  <c:v>2012-10</c:v>
                </c:pt>
                <c:pt idx="82">
                  <c:v>2012-11</c:v>
                </c:pt>
                <c:pt idx="83">
                  <c:v>2012-12</c:v>
                </c:pt>
                <c:pt idx="84">
                  <c:v>2013-01</c:v>
                </c:pt>
                <c:pt idx="85">
                  <c:v>2013-02</c:v>
                </c:pt>
                <c:pt idx="86">
                  <c:v>2013-03</c:v>
                </c:pt>
                <c:pt idx="87">
                  <c:v>2013-04</c:v>
                </c:pt>
                <c:pt idx="88">
                  <c:v>2013-05</c:v>
                </c:pt>
                <c:pt idx="89">
                  <c:v>2013-06</c:v>
                </c:pt>
                <c:pt idx="90">
                  <c:v>2013-07</c:v>
                </c:pt>
                <c:pt idx="91">
                  <c:v>2013-08</c:v>
                </c:pt>
                <c:pt idx="92">
                  <c:v>2013-09</c:v>
                </c:pt>
                <c:pt idx="93">
                  <c:v>2013-10</c:v>
                </c:pt>
                <c:pt idx="94">
                  <c:v>2013-11</c:v>
                </c:pt>
                <c:pt idx="95">
                  <c:v>2013-12</c:v>
                </c:pt>
                <c:pt idx="96">
                  <c:v>2014-01</c:v>
                </c:pt>
                <c:pt idx="97">
                  <c:v>2014-02</c:v>
                </c:pt>
                <c:pt idx="98">
                  <c:v>2014-03</c:v>
                </c:pt>
                <c:pt idx="99">
                  <c:v>2014-04</c:v>
                </c:pt>
                <c:pt idx="100">
                  <c:v>2014-05</c:v>
                </c:pt>
                <c:pt idx="101">
                  <c:v>2014-06</c:v>
                </c:pt>
                <c:pt idx="102">
                  <c:v>2014-07</c:v>
                </c:pt>
                <c:pt idx="103">
                  <c:v>2014-08</c:v>
                </c:pt>
                <c:pt idx="104">
                  <c:v>2014-09</c:v>
                </c:pt>
                <c:pt idx="105">
                  <c:v>2014-10</c:v>
                </c:pt>
                <c:pt idx="106">
                  <c:v>2014-11</c:v>
                </c:pt>
                <c:pt idx="107">
                  <c:v>2014-12</c:v>
                </c:pt>
                <c:pt idx="108">
                  <c:v>2015-01</c:v>
                </c:pt>
                <c:pt idx="109">
                  <c:v>2015-02</c:v>
                </c:pt>
                <c:pt idx="110">
                  <c:v>2015-03</c:v>
                </c:pt>
                <c:pt idx="111">
                  <c:v>2015-04</c:v>
                </c:pt>
                <c:pt idx="112">
                  <c:v>2015-05</c:v>
                </c:pt>
                <c:pt idx="113">
                  <c:v>2015-06</c:v>
                </c:pt>
                <c:pt idx="114">
                  <c:v>2015-07</c:v>
                </c:pt>
                <c:pt idx="115">
                  <c:v>2015-08</c:v>
                </c:pt>
                <c:pt idx="116">
                  <c:v>2015-09</c:v>
                </c:pt>
                <c:pt idx="117">
                  <c:v>2015-10</c:v>
                </c:pt>
                <c:pt idx="118">
                  <c:v>2015-11</c:v>
                </c:pt>
                <c:pt idx="119">
                  <c:v>2015-12</c:v>
                </c:pt>
                <c:pt idx="120">
                  <c:v>2016-01</c:v>
                </c:pt>
                <c:pt idx="121">
                  <c:v>2016-02</c:v>
                </c:pt>
                <c:pt idx="122">
                  <c:v>2016-03</c:v>
                </c:pt>
                <c:pt idx="123">
                  <c:v>2016-04</c:v>
                </c:pt>
                <c:pt idx="124">
                  <c:v>2016-05</c:v>
                </c:pt>
                <c:pt idx="125">
                  <c:v>2016-06</c:v>
                </c:pt>
                <c:pt idx="126">
                  <c:v>2016-07</c:v>
                </c:pt>
                <c:pt idx="127">
                  <c:v>2016-08</c:v>
                </c:pt>
                <c:pt idx="128">
                  <c:v>2016-09</c:v>
                </c:pt>
                <c:pt idx="129">
                  <c:v>2016-10</c:v>
                </c:pt>
                <c:pt idx="130">
                  <c:v>2016-11</c:v>
                </c:pt>
                <c:pt idx="131">
                  <c:v>2016-12</c:v>
                </c:pt>
                <c:pt idx="132">
                  <c:v>2017-01</c:v>
                </c:pt>
                <c:pt idx="133">
                  <c:v>2017-02</c:v>
                </c:pt>
                <c:pt idx="134">
                  <c:v>2017-03</c:v>
                </c:pt>
                <c:pt idx="135">
                  <c:v>2017-04</c:v>
                </c:pt>
                <c:pt idx="136">
                  <c:v>2017-05</c:v>
                </c:pt>
                <c:pt idx="137">
                  <c:v>2017-06</c:v>
                </c:pt>
                <c:pt idx="138">
                  <c:v>2017-07</c:v>
                </c:pt>
                <c:pt idx="139">
                  <c:v>2017-08</c:v>
                </c:pt>
                <c:pt idx="140">
                  <c:v>2017-09</c:v>
                </c:pt>
                <c:pt idx="141">
                  <c:v>2017-10</c:v>
                </c:pt>
                <c:pt idx="142">
                  <c:v>2017-11</c:v>
                </c:pt>
                <c:pt idx="143">
                  <c:v>2017-12</c:v>
                </c:pt>
                <c:pt idx="144">
                  <c:v>2018-01</c:v>
                </c:pt>
                <c:pt idx="145">
                  <c:v>2018-02</c:v>
                </c:pt>
                <c:pt idx="146">
                  <c:v>2018-03</c:v>
                </c:pt>
                <c:pt idx="147">
                  <c:v>2018-04</c:v>
                </c:pt>
                <c:pt idx="148">
                  <c:v>2018-05</c:v>
                </c:pt>
                <c:pt idx="149">
                  <c:v>2018-06</c:v>
                </c:pt>
                <c:pt idx="150">
                  <c:v>2018-07</c:v>
                </c:pt>
                <c:pt idx="151">
                  <c:v>2018-08</c:v>
                </c:pt>
                <c:pt idx="152">
                  <c:v>2018-09</c:v>
                </c:pt>
                <c:pt idx="153">
                  <c:v>2018-10</c:v>
                </c:pt>
                <c:pt idx="154">
                  <c:v>2018-11</c:v>
                </c:pt>
                <c:pt idx="155">
                  <c:v>2018-12</c:v>
                </c:pt>
                <c:pt idx="156">
                  <c:v>2019-01</c:v>
                </c:pt>
                <c:pt idx="157">
                  <c:v>2019-02</c:v>
                </c:pt>
                <c:pt idx="158">
                  <c:v>2019-03</c:v>
                </c:pt>
                <c:pt idx="159">
                  <c:v>2019-04</c:v>
                </c:pt>
                <c:pt idx="160">
                  <c:v>2019-05</c:v>
                </c:pt>
                <c:pt idx="161">
                  <c:v>2019-06</c:v>
                </c:pt>
                <c:pt idx="162">
                  <c:v>2019-07</c:v>
                </c:pt>
                <c:pt idx="163">
                  <c:v>2019-08</c:v>
                </c:pt>
                <c:pt idx="164">
                  <c:v>2019-09</c:v>
                </c:pt>
                <c:pt idx="165">
                  <c:v>2019-10</c:v>
                </c:pt>
                <c:pt idx="166">
                  <c:v>2019-11</c:v>
                </c:pt>
                <c:pt idx="167">
                  <c:v>2019-12</c:v>
                </c:pt>
                <c:pt idx="168">
                  <c:v>2020-01</c:v>
                </c:pt>
                <c:pt idx="169">
                  <c:v>2020-02</c:v>
                </c:pt>
                <c:pt idx="170">
                  <c:v>2020-03</c:v>
                </c:pt>
                <c:pt idx="171">
                  <c:v>2020-04</c:v>
                </c:pt>
                <c:pt idx="172">
                  <c:v>2020-05</c:v>
                </c:pt>
                <c:pt idx="173">
                  <c:v>2020-06</c:v>
                </c:pt>
                <c:pt idx="174">
                  <c:v>2020-07</c:v>
                </c:pt>
                <c:pt idx="175">
                  <c:v>2020-08</c:v>
                </c:pt>
                <c:pt idx="176">
                  <c:v>2020-09</c:v>
                </c:pt>
                <c:pt idx="177">
                  <c:v>2020-10</c:v>
                </c:pt>
                <c:pt idx="178">
                  <c:v>2020-11</c:v>
                </c:pt>
                <c:pt idx="179">
                  <c:v>2020-12</c:v>
                </c:pt>
                <c:pt idx="180">
                  <c:v>2021-01</c:v>
                </c:pt>
                <c:pt idx="181">
                  <c:v>2021-02</c:v>
                </c:pt>
                <c:pt idx="182">
                  <c:v>2021-03</c:v>
                </c:pt>
                <c:pt idx="183">
                  <c:v>2021-04</c:v>
                </c:pt>
                <c:pt idx="184">
                  <c:v>2021-05</c:v>
                </c:pt>
                <c:pt idx="185">
                  <c:v>2021-06</c:v>
                </c:pt>
                <c:pt idx="186">
                  <c:v>2021-07</c:v>
                </c:pt>
                <c:pt idx="187">
                  <c:v>2021-08</c:v>
                </c:pt>
                <c:pt idx="188">
                  <c:v>2021-09</c:v>
                </c:pt>
                <c:pt idx="189">
                  <c:v>2021-10</c:v>
                </c:pt>
                <c:pt idx="190">
                  <c:v>2021-11</c:v>
                </c:pt>
                <c:pt idx="191">
                  <c:v>2021-12</c:v>
                </c:pt>
                <c:pt idx="192">
                  <c:v>2022-01</c:v>
                </c:pt>
                <c:pt idx="193">
                  <c:v>2022-02</c:v>
                </c:pt>
                <c:pt idx="194">
                  <c:v>2022-03</c:v>
                </c:pt>
                <c:pt idx="195">
                  <c:v>2022-04</c:v>
                </c:pt>
                <c:pt idx="196">
                  <c:v>2022-05</c:v>
                </c:pt>
                <c:pt idx="197">
                  <c:v>2022-06</c:v>
                </c:pt>
                <c:pt idx="198">
                  <c:v>2022-07</c:v>
                </c:pt>
                <c:pt idx="199">
                  <c:v>2022-08</c:v>
                </c:pt>
                <c:pt idx="200">
                  <c:v>2022-09</c:v>
                </c:pt>
                <c:pt idx="201">
                  <c:v>2022-10</c:v>
                </c:pt>
                <c:pt idx="202">
                  <c:v>2022-11</c:v>
                </c:pt>
                <c:pt idx="203">
                  <c:v>2022-12</c:v>
                </c:pt>
                <c:pt idx="204">
                  <c:v>2023-01</c:v>
                </c:pt>
                <c:pt idx="205">
                  <c:v>2023-02</c:v>
                </c:pt>
                <c:pt idx="206">
                  <c:v>2023-03</c:v>
                </c:pt>
                <c:pt idx="207">
                  <c:v>2023-04</c:v>
                </c:pt>
                <c:pt idx="208">
                  <c:v>2023-05</c:v>
                </c:pt>
                <c:pt idx="209">
                  <c:v>2023-06</c:v>
                </c:pt>
                <c:pt idx="210">
                  <c:v>2023-07</c:v>
                </c:pt>
                <c:pt idx="211">
                  <c:v>2023-08</c:v>
                </c:pt>
                <c:pt idx="212">
                  <c:v>2023-09</c:v>
                </c:pt>
                <c:pt idx="213">
                  <c:v>2023-10</c:v>
                </c:pt>
                <c:pt idx="214">
                  <c:v>2023-11</c:v>
                </c:pt>
                <c:pt idx="215">
                  <c:v>2023-12</c:v>
                </c:pt>
                <c:pt idx="216">
                  <c:v>2024-01</c:v>
                </c:pt>
                <c:pt idx="217">
                  <c:v>2024-02</c:v>
                </c:pt>
                <c:pt idx="218">
                  <c:v>2024-03</c:v>
                </c:pt>
                <c:pt idx="219">
                  <c:v>2024-04</c:v>
                </c:pt>
                <c:pt idx="220">
                  <c:v>2024-05</c:v>
                </c:pt>
                <c:pt idx="221">
                  <c:v>2024-06</c:v>
                </c:pt>
                <c:pt idx="222">
                  <c:v>2024-07</c:v>
                </c:pt>
                <c:pt idx="223">
                  <c:v>2024-08</c:v>
                </c:pt>
                <c:pt idx="224">
                  <c:v>2024-09</c:v>
                </c:pt>
                <c:pt idx="225">
                  <c:v>2024-10</c:v>
                </c:pt>
                <c:pt idx="226">
                  <c:v>2024-11</c:v>
                </c:pt>
                <c:pt idx="227">
                  <c:v>2024-12</c:v>
                </c:pt>
                <c:pt idx="228">
                  <c:v>2025-01</c:v>
                </c:pt>
                <c:pt idx="229">
                  <c:v>2025-02</c:v>
                </c:pt>
                <c:pt idx="230">
                  <c:v>2025-03</c:v>
                </c:pt>
                <c:pt idx="231">
                  <c:v>2025-04</c:v>
                </c:pt>
                <c:pt idx="232">
                  <c:v>2025-05</c:v>
                </c:pt>
                <c:pt idx="233">
                  <c:v>2025-06</c:v>
                </c:pt>
                <c:pt idx="234">
                  <c:v>2025-07</c:v>
                </c:pt>
              </c:strCache>
            </c:strRef>
          </c:cat>
          <c:val>
            <c:numRef>
              <c:f>'Monthly Trend'!$C$3:$C$237</c:f>
              <c:numCache>
                <c:formatCode>#,##0</c:formatCode>
                <c:ptCount val="235"/>
                <c:pt idx="0">
                  <c:v>1876300</c:v>
                </c:pt>
                <c:pt idx="1">
                  <c:v>1803623</c:v>
                </c:pt>
                <c:pt idx="2">
                  <c:v>1865094</c:v>
                </c:pt>
                <c:pt idx="3">
                  <c:v>1823708</c:v>
                </c:pt>
                <c:pt idx="4">
                  <c:v>1827906</c:v>
                </c:pt>
                <c:pt idx="5">
                  <c:v>1876027</c:v>
                </c:pt>
                <c:pt idx="6">
                  <c:v>1888816</c:v>
                </c:pt>
                <c:pt idx="7">
                  <c:v>1907666</c:v>
                </c:pt>
                <c:pt idx="8">
                  <c:v>1888992</c:v>
                </c:pt>
                <c:pt idx="9">
                  <c:v>1933212</c:v>
                </c:pt>
                <c:pt idx="10">
                  <c:v>1904733</c:v>
                </c:pt>
                <c:pt idx="11">
                  <c:v>1880324</c:v>
                </c:pt>
                <c:pt idx="12">
                  <c:v>1882256</c:v>
                </c:pt>
                <c:pt idx="13">
                  <c:v>1883299</c:v>
                </c:pt>
                <c:pt idx="14">
                  <c:v>1890413</c:v>
                </c:pt>
                <c:pt idx="15">
                  <c:v>1849416</c:v>
                </c:pt>
                <c:pt idx="16">
                  <c:v>1900419</c:v>
                </c:pt>
                <c:pt idx="17">
                  <c:v>1844264</c:v>
                </c:pt>
                <c:pt idx="18">
                  <c:v>1838538</c:v>
                </c:pt>
                <c:pt idx="19">
                  <c:v>1874385</c:v>
                </c:pt>
                <c:pt idx="20">
                  <c:v>1846389</c:v>
                </c:pt>
                <c:pt idx="21">
                  <c:v>1995345</c:v>
                </c:pt>
                <c:pt idx="22">
                  <c:v>1883235</c:v>
                </c:pt>
                <c:pt idx="23">
                  <c:v>1830157</c:v>
                </c:pt>
                <c:pt idx="24">
                  <c:v>1840797</c:v>
                </c:pt>
                <c:pt idx="25">
                  <c:v>1850734</c:v>
                </c:pt>
                <c:pt idx="26">
                  <c:v>1772267</c:v>
                </c:pt>
                <c:pt idx="27">
                  <c:v>1807139</c:v>
                </c:pt>
                <c:pt idx="28">
                  <c:v>1770471</c:v>
                </c:pt>
                <c:pt idx="29">
                  <c:v>1687048</c:v>
                </c:pt>
                <c:pt idx="30">
                  <c:v>1595440</c:v>
                </c:pt>
                <c:pt idx="31">
                  <c:v>1536061</c:v>
                </c:pt>
                <c:pt idx="32">
                  <c:v>1497532</c:v>
                </c:pt>
                <c:pt idx="33">
                  <c:v>1381864</c:v>
                </c:pt>
                <c:pt idx="34">
                  <c:v>1275569</c:v>
                </c:pt>
                <c:pt idx="35">
                  <c:v>1314278</c:v>
                </c:pt>
                <c:pt idx="36">
                  <c:v>1344364</c:v>
                </c:pt>
                <c:pt idx="37">
                  <c:v>1252793</c:v>
                </c:pt>
                <c:pt idx="38">
                  <c:v>1226997</c:v>
                </c:pt>
                <c:pt idx="39">
                  <c:v>1221675</c:v>
                </c:pt>
                <c:pt idx="40">
                  <c:v>1239760</c:v>
                </c:pt>
                <c:pt idx="41">
                  <c:v>1293867</c:v>
                </c:pt>
                <c:pt idx="42">
                  <c:v>1348001</c:v>
                </c:pt>
                <c:pt idx="43">
                  <c:v>1563993</c:v>
                </c:pt>
                <c:pt idx="44">
                  <c:v>1205741</c:v>
                </c:pt>
                <c:pt idx="45">
                  <c:v>1295417</c:v>
                </c:pt>
                <c:pt idx="46">
                  <c:v>1289157</c:v>
                </c:pt>
                <c:pt idx="47">
                  <c:v>1345445</c:v>
                </c:pt>
                <c:pt idx="48">
                  <c:v>1324871</c:v>
                </c:pt>
                <c:pt idx="49">
                  <c:v>1285473</c:v>
                </c:pt>
                <c:pt idx="50">
                  <c:v>1487713</c:v>
                </c:pt>
                <c:pt idx="51">
                  <c:v>1455031</c:v>
                </c:pt>
                <c:pt idx="52">
                  <c:v>1435403</c:v>
                </c:pt>
                <c:pt idx="53">
                  <c:v>1487858</c:v>
                </c:pt>
                <c:pt idx="54">
                  <c:v>1522560</c:v>
                </c:pt>
                <c:pt idx="55">
                  <c:v>1506548</c:v>
                </c:pt>
                <c:pt idx="56">
                  <c:v>1555813</c:v>
                </c:pt>
                <c:pt idx="57">
                  <c:v>1614526</c:v>
                </c:pt>
                <c:pt idx="58">
                  <c:v>1616145</c:v>
                </c:pt>
                <c:pt idx="59">
                  <c:v>1647760</c:v>
                </c:pt>
                <c:pt idx="60">
                  <c:v>1632159</c:v>
                </c:pt>
                <c:pt idx="61">
                  <c:v>1670689</c:v>
                </c:pt>
                <c:pt idx="62">
                  <c:v>1686257</c:v>
                </c:pt>
                <c:pt idx="63">
                  <c:v>1661037</c:v>
                </c:pt>
                <c:pt idx="64">
                  <c:v>1607832</c:v>
                </c:pt>
                <c:pt idx="65">
                  <c:v>1626638</c:v>
                </c:pt>
                <c:pt idx="66">
                  <c:v>1606822</c:v>
                </c:pt>
                <c:pt idx="67">
                  <c:v>1673818</c:v>
                </c:pt>
                <c:pt idx="68">
                  <c:v>1743529</c:v>
                </c:pt>
                <c:pt idx="69">
                  <c:v>1783598</c:v>
                </c:pt>
                <c:pt idx="70">
                  <c:v>1808416</c:v>
                </c:pt>
                <c:pt idx="71">
                  <c:v>1849191</c:v>
                </c:pt>
                <c:pt idx="72">
                  <c:v>1802930</c:v>
                </c:pt>
                <c:pt idx="73">
                  <c:v>1939650</c:v>
                </c:pt>
                <c:pt idx="74">
                  <c:v>1863648</c:v>
                </c:pt>
                <c:pt idx="75">
                  <c:v>1842362</c:v>
                </c:pt>
                <c:pt idx="76">
                  <c:v>1890563</c:v>
                </c:pt>
                <c:pt idx="77">
                  <c:v>1885969</c:v>
                </c:pt>
                <c:pt idx="78">
                  <c:v>1864797</c:v>
                </c:pt>
                <c:pt idx="79">
                  <c:v>1921362</c:v>
                </c:pt>
                <c:pt idx="80">
                  <c:v>1892614</c:v>
                </c:pt>
                <c:pt idx="81">
                  <c:v>1936269</c:v>
                </c:pt>
                <c:pt idx="82">
                  <c:v>1984173</c:v>
                </c:pt>
                <c:pt idx="83">
                  <c:v>1953681</c:v>
                </c:pt>
                <c:pt idx="84">
                  <c:v>2025885</c:v>
                </c:pt>
                <c:pt idx="85">
                  <c:v>2015306</c:v>
                </c:pt>
                <c:pt idx="86">
                  <c:v>1976799</c:v>
                </c:pt>
                <c:pt idx="87">
                  <c:v>2069542</c:v>
                </c:pt>
                <c:pt idx="88">
                  <c:v>2099070</c:v>
                </c:pt>
                <c:pt idx="89">
                  <c:v>2071096</c:v>
                </c:pt>
                <c:pt idx="90">
                  <c:v>2134022</c:v>
                </c:pt>
                <c:pt idx="91">
                  <c:v>2125109</c:v>
                </c:pt>
                <c:pt idx="92">
                  <c:v>2049771</c:v>
                </c:pt>
                <c:pt idx="93">
                  <c:v>2086137</c:v>
                </c:pt>
                <c:pt idx="94">
                  <c:v>2127737</c:v>
                </c:pt>
                <c:pt idx="95">
                  <c:v>2079043</c:v>
                </c:pt>
                <c:pt idx="96">
                  <c:v>2118722</c:v>
                </c:pt>
                <c:pt idx="97">
                  <c:v>2132933</c:v>
                </c:pt>
                <c:pt idx="98">
                  <c:v>2156671</c:v>
                </c:pt>
                <c:pt idx="99">
                  <c:v>2168344</c:v>
                </c:pt>
                <c:pt idx="100">
                  <c:v>2205911</c:v>
                </c:pt>
                <c:pt idx="101">
                  <c:v>2152065</c:v>
                </c:pt>
                <c:pt idx="102">
                  <c:v>2200933</c:v>
                </c:pt>
                <c:pt idx="103">
                  <c:v>2205887</c:v>
                </c:pt>
                <c:pt idx="104">
                  <c:v>2241795</c:v>
                </c:pt>
                <c:pt idx="105">
                  <c:v>2234018</c:v>
                </c:pt>
                <c:pt idx="106">
                  <c:v>2176951</c:v>
                </c:pt>
                <c:pt idx="107">
                  <c:v>2253611</c:v>
                </c:pt>
                <c:pt idx="108">
                  <c:v>2272787</c:v>
                </c:pt>
                <c:pt idx="109">
                  <c:v>2230213</c:v>
                </c:pt>
                <c:pt idx="110">
                  <c:v>2264819</c:v>
                </c:pt>
                <c:pt idx="111">
                  <c:v>2288929</c:v>
                </c:pt>
                <c:pt idx="112">
                  <c:v>2276832</c:v>
                </c:pt>
                <c:pt idx="113">
                  <c:v>2374181</c:v>
                </c:pt>
                <c:pt idx="114">
                  <c:v>2383896</c:v>
                </c:pt>
                <c:pt idx="115">
                  <c:v>2351793</c:v>
                </c:pt>
                <c:pt idx="116">
                  <c:v>2384073</c:v>
                </c:pt>
                <c:pt idx="117">
                  <c:v>2371188</c:v>
                </c:pt>
                <c:pt idx="118">
                  <c:v>2303143</c:v>
                </c:pt>
                <c:pt idx="119">
                  <c:v>2331039</c:v>
                </c:pt>
                <c:pt idx="120">
                  <c:v>2307040</c:v>
                </c:pt>
                <c:pt idx="121">
                  <c:v>2541345</c:v>
                </c:pt>
                <c:pt idx="122">
                  <c:v>2290553</c:v>
                </c:pt>
                <c:pt idx="123">
                  <c:v>2367529</c:v>
                </c:pt>
                <c:pt idx="124">
                  <c:v>2292777</c:v>
                </c:pt>
                <c:pt idx="125">
                  <c:v>2343578</c:v>
                </c:pt>
                <c:pt idx="126">
                  <c:v>2320581</c:v>
                </c:pt>
                <c:pt idx="127">
                  <c:v>2389640</c:v>
                </c:pt>
                <c:pt idx="128">
                  <c:v>2387642</c:v>
                </c:pt>
                <c:pt idx="129">
                  <c:v>2328493</c:v>
                </c:pt>
                <c:pt idx="130">
                  <c:v>2359225</c:v>
                </c:pt>
                <c:pt idx="131">
                  <c:v>2445668</c:v>
                </c:pt>
                <c:pt idx="132">
                  <c:v>2338418</c:v>
                </c:pt>
                <c:pt idx="133">
                  <c:v>2348321</c:v>
                </c:pt>
                <c:pt idx="134">
                  <c:v>2339965</c:v>
                </c:pt>
                <c:pt idx="135">
                  <c:v>2278096</c:v>
                </c:pt>
                <c:pt idx="136">
                  <c:v>2344539</c:v>
                </c:pt>
                <c:pt idx="137">
                  <c:v>2325919</c:v>
                </c:pt>
                <c:pt idx="138">
                  <c:v>2289320</c:v>
                </c:pt>
                <c:pt idx="139">
                  <c:v>2256009</c:v>
                </c:pt>
                <c:pt idx="140">
                  <c:v>2318513</c:v>
                </c:pt>
                <c:pt idx="141">
                  <c:v>2305044</c:v>
                </c:pt>
                <c:pt idx="142">
                  <c:v>2354714</c:v>
                </c:pt>
                <c:pt idx="143">
                  <c:v>2324735</c:v>
                </c:pt>
                <c:pt idx="144">
                  <c:v>2348734</c:v>
                </c:pt>
                <c:pt idx="145">
                  <c:v>2355479</c:v>
                </c:pt>
                <c:pt idx="146">
                  <c:v>2353398</c:v>
                </c:pt>
                <c:pt idx="147">
                  <c:v>2309900</c:v>
                </c:pt>
                <c:pt idx="148">
                  <c:v>2372081</c:v>
                </c:pt>
                <c:pt idx="149">
                  <c:v>2368004</c:v>
                </c:pt>
                <c:pt idx="150">
                  <c:v>2322008</c:v>
                </c:pt>
                <c:pt idx="151">
                  <c:v>2376671</c:v>
                </c:pt>
                <c:pt idx="152">
                  <c:v>2302702</c:v>
                </c:pt>
                <c:pt idx="153">
                  <c:v>2390692</c:v>
                </c:pt>
                <c:pt idx="154">
                  <c:v>2389923</c:v>
                </c:pt>
                <c:pt idx="155">
                  <c:v>2384838</c:v>
                </c:pt>
                <c:pt idx="156">
                  <c:v>2331852</c:v>
                </c:pt>
                <c:pt idx="157">
                  <c:v>2359029</c:v>
                </c:pt>
                <c:pt idx="158">
                  <c:v>2381175</c:v>
                </c:pt>
                <c:pt idx="159">
                  <c:v>2428798</c:v>
                </c:pt>
                <c:pt idx="160">
                  <c:v>2417765</c:v>
                </c:pt>
                <c:pt idx="161">
                  <c:v>2354020</c:v>
                </c:pt>
                <c:pt idx="162">
                  <c:v>2447431</c:v>
                </c:pt>
                <c:pt idx="163">
                  <c:v>2501111</c:v>
                </c:pt>
                <c:pt idx="164">
                  <c:v>2428070</c:v>
                </c:pt>
                <c:pt idx="165">
                  <c:v>2454327</c:v>
                </c:pt>
                <c:pt idx="166">
                  <c:v>2551020</c:v>
                </c:pt>
                <c:pt idx="167">
                  <c:v>2479581</c:v>
                </c:pt>
                <c:pt idx="168">
                  <c:v>2478805</c:v>
                </c:pt>
                <c:pt idx="169">
                  <c:v>2556048</c:v>
                </c:pt>
                <c:pt idx="170">
                  <c:v>1783922</c:v>
                </c:pt>
                <c:pt idx="171">
                  <c:v>1566940</c:v>
                </c:pt>
                <c:pt idx="172">
                  <c:v>2254189</c:v>
                </c:pt>
                <c:pt idx="173">
                  <c:v>2550452</c:v>
                </c:pt>
                <c:pt idx="174">
                  <c:v>2456565</c:v>
                </c:pt>
                <c:pt idx="175">
                  <c:v>2373636</c:v>
                </c:pt>
                <c:pt idx="176">
                  <c:v>2486515</c:v>
                </c:pt>
                <c:pt idx="177">
                  <c:v>2495766</c:v>
                </c:pt>
                <c:pt idx="178">
                  <c:v>2346220</c:v>
                </c:pt>
                <c:pt idx="179">
                  <c:v>2476065</c:v>
                </c:pt>
                <c:pt idx="180">
                  <c:v>2515588</c:v>
                </c:pt>
                <c:pt idx="181">
                  <c:v>2343424</c:v>
                </c:pt>
                <c:pt idx="182">
                  <c:v>2826479</c:v>
                </c:pt>
                <c:pt idx="183">
                  <c:v>2827187</c:v>
                </c:pt>
                <c:pt idx="184">
                  <c:v>2640117</c:v>
                </c:pt>
                <c:pt idx="185">
                  <c:v>2678997</c:v>
                </c:pt>
                <c:pt idx="186">
                  <c:v>2549077</c:v>
                </c:pt>
                <c:pt idx="187">
                  <c:v>2396457</c:v>
                </c:pt>
                <c:pt idx="188">
                  <c:v>2405010</c:v>
                </c:pt>
                <c:pt idx="189">
                  <c:v>2388911</c:v>
                </c:pt>
                <c:pt idx="190">
                  <c:v>2445550</c:v>
                </c:pt>
                <c:pt idx="191">
                  <c:v>2393344</c:v>
                </c:pt>
                <c:pt idx="192">
                  <c:v>2337074</c:v>
                </c:pt>
                <c:pt idx="193">
                  <c:v>2362867</c:v>
                </c:pt>
                <c:pt idx="194">
                  <c:v>2373062</c:v>
                </c:pt>
                <c:pt idx="195">
                  <c:v>2367150</c:v>
                </c:pt>
                <c:pt idx="196">
                  <c:v>2234748</c:v>
                </c:pt>
                <c:pt idx="197">
                  <c:v>2246398</c:v>
                </c:pt>
                <c:pt idx="198">
                  <c:v>2093771</c:v>
                </c:pt>
                <c:pt idx="199">
                  <c:v>2185762</c:v>
                </c:pt>
                <c:pt idx="200">
                  <c:v>2181615</c:v>
                </c:pt>
                <c:pt idx="201">
                  <c:v>2136268</c:v>
                </c:pt>
                <c:pt idx="202">
                  <c:v>2063651</c:v>
                </c:pt>
                <c:pt idx="203">
                  <c:v>2015813</c:v>
                </c:pt>
                <c:pt idx="204">
                  <c:v>2132251</c:v>
                </c:pt>
                <c:pt idx="205">
                  <c:v>2067793</c:v>
                </c:pt>
                <c:pt idx="206">
                  <c:v>2004249</c:v>
                </c:pt>
                <c:pt idx="207">
                  <c:v>1962843</c:v>
                </c:pt>
                <c:pt idx="208">
                  <c:v>2064046</c:v>
                </c:pt>
                <c:pt idx="209">
                  <c:v>2095997</c:v>
                </c:pt>
                <c:pt idx="210">
                  <c:v>2027203</c:v>
                </c:pt>
                <c:pt idx="211">
                  <c:v>2085724</c:v>
                </c:pt>
                <c:pt idx="212">
                  <c:v>2095929</c:v>
                </c:pt>
                <c:pt idx="213">
                  <c:v>2017239</c:v>
                </c:pt>
                <c:pt idx="214">
                  <c:v>2034194</c:v>
                </c:pt>
                <c:pt idx="215">
                  <c:v>2084191</c:v>
                </c:pt>
                <c:pt idx="216">
                  <c:v>2048530</c:v>
                </c:pt>
                <c:pt idx="217">
                  <c:v>2135407</c:v>
                </c:pt>
                <c:pt idx="218">
                  <c:v>2001225</c:v>
                </c:pt>
                <c:pt idx="219">
                  <c:v>2051268</c:v>
                </c:pt>
                <c:pt idx="220">
                  <c:v>2115632</c:v>
                </c:pt>
                <c:pt idx="221">
                  <c:v>2021445</c:v>
                </c:pt>
                <c:pt idx="222">
                  <c:v>2153239</c:v>
                </c:pt>
                <c:pt idx="223">
                  <c:v>2131797</c:v>
                </c:pt>
                <c:pt idx="224">
                  <c:v>2069864</c:v>
                </c:pt>
                <c:pt idx="225">
                  <c:v>2193169</c:v>
                </c:pt>
                <c:pt idx="226">
                  <c:v>2233965</c:v>
                </c:pt>
                <c:pt idx="227">
                  <c:v>2235734</c:v>
                </c:pt>
                <c:pt idx="228">
                  <c:v>2135146</c:v>
                </c:pt>
                <c:pt idx="229">
                  <c:v>2098600</c:v>
                </c:pt>
                <c:pt idx="230">
                  <c:v>2252586</c:v>
                </c:pt>
                <c:pt idx="231">
                  <c:v>2255028</c:v>
                </c:pt>
                <c:pt idx="232">
                  <c:v>2136563</c:v>
                </c:pt>
                <c:pt idx="233">
                  <c:v>2135149</c:v>
                </c:pt>
                <c:pt idx="234">
                  <c:v>2208794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Trend'!D2</c:f>
              <c:strCache>
                <c:ptCount val="1"/>
                <c:pt idx="0">
                  <c:v>Unadjusted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Trend'!$A$3:$A$237</c:f>
              <c:strCache>
                <c:ptCount val="235"/>
                <c:pt idx="0">
                  <c:v>2006-01</c:v>
                </c:pt>
                <c:pt idx="1">
                  <c:v>2006-02</c:v>
                </c:pt>
                <c:pt idx="2">
                  <c:v>2006-03</c:v>
                </c:pt>
                <c:pt idx="3">
                  <c:v>2006-04</c:v>
                </c:pt>
                <c:pt idx="4">
                  <c:v>2006-05</c:v>
                </c:pt>
                <c:pt idx="5">
                  <c:v>2006-06</c:v>
                </c:pt>
                <c:pt idx="6">
                  <c:v>2006-07</c:v>
                </c:pt>
                <c:pt idx="7">
                  <c:v>2006-08</c:v>
                </c:pt>
                <c:pt idx="8">
                  <c:v>2006-09</c:v>
                </c:pt>
                <c:pt idx="9">
                  <c:v>2006-10</c:v>
                </c:pt>
                <c:pt idx="10">
                  <c:v>2006-11</c:v>
                </c:pt>
                <c:pt idx="11">
                  <c:v>2006-12</c:v>
                </c:pt>
                <c:pt idx="12">
                  <c:v>2007-01</c:v>
                </c:pt>
                <c:pt idx="13">
                  <c:v>2007-02</c:v>
                </c:pt>
                <c:pt idx="14">
                  <c:v>2007-03</c:v>
                </c:pt>
                <c:pt idx="15">
                  <c:v>2007-04</c:v>
                </c:pt>
                <c:pt idx="16">
                  <c:v>2007-05</c:v>
                </c:pt>
                <c:pt idx="17">
                  <c:v>2007-06</c:v>
                </c:pt>
                <c:pt idx="18">
                  <c:v>2007-07</c:v>
                </c:pt>
                <c:pt idx="19">
                  <c:v>2007-08</c:v>
                </c:pt>
                <c:pt idx="20">
                  <c:v>2007-09</c:v>
                </c:pt>
                <c:pt idx="21">
                  <c:v>2007-10</c:v>
                </c:pt>
                <c:pt idx="22">
                  <c:v>2007-11</c:v>
                </c:pt>
                <c:pt idx="23">
                  <c:v>2007-12</c:v>
                </c:pt>
                <c:pt idx="24">
                  <c:v>2008-01</c:v>
                </c:pt>
                <c:pt idx="25">
                  <c:v>2008-02</c:v>
                </c:pt>
                <c:pt idx="26">
                  <c:v>2008-03</c:v>
                </c:pt>
                <c:pt idx="27">
                  <c:v>2008-04</c:v>
                </c:pt>
                <c:pt idx="28">
                  <c:v>2008-05</c:v>
                </c:pt>
                <c:pt idx="29">
                  <c:v>2008-06</c:v>
                </c:pt>
                <c:pt idx="30">
                  <c:v>2008-07</c:v>
                </c:pt>
                <c:pt idx="31">
                  <c:v>2008-08</c:v>
                </c:pt>
                <c:pt idx="32">
                  <c:v>2008-09</c:v>
                </c:pt>
                <c:pt idx="33">
                  <c:v>2008-10</c:v>
                </c:pt>
                <c:pt idx="34">
                  <c:v>2008-11</c:v>
                </c:pt>
                <c:pt idx="35">
                  <c:v>2008-12</c:v>
                </c:pt>
                <c:pt idx="36">
                  <c:v>2009-01</c:v>
                </c:pt>
                <c:pt idx="37">
                  <c:v>2009-02</c:v>
                </c:pt>
                <c:pt idx="38">
                  <c:v>2009-03</c:v>
                </c:pt>
                <c:pt idx="39">
                  <c:v>2009-04</c:v>
                </c:pt>
                <c:pt idx="40">
                  <c:v>2009-05</c:v>
                </c:pt>
                <c:pt idx="41">
                  <c:v>2009-06</c:v>
                </c:pt>
                <c:pt idx="42">
                  <c:v>2009-07</c:v>
                </c:pt>
                <c:pt idx="43">
                  <c:v>2009-08</c:v>
                </c:pt>
                <c:pt idx="44">
                  <c:v>2009-09</c:v>
                </c:pt>
                <c:pt idx="45">
                  <c:v>2009-10</c:v>
                </c:pt>
                <c:pt idx="46">
                  <c:v>2009-11</c:v>
                </c:pt>
                <c:pt idx="47">
                  <c:v>2009-12</c:v>
                </c:pt>
                <c:pt idx="48">
                  <c:v>2010-01</c:v>
                </c:pt>
                <c:pt idx="49">
                  <c:v>2010-02</c:v>
                </c:pt>
                <c:pt idx="50">
                  <c:v>2010-03</c:v>
                </c:pt>
                <c:pt idx="51">
                  <c:v>2010-04</c:v>
                </c:pt>
                <c:pt idx="52">
                  <c:v>2010-05</c:v>
                </c:pt>
                <c:pt idx="53">
                  <c:v>2010-06</c:v>
                </c:pt>
                <c:pt idx="54">
                  <c:v>2010-07</c:v>
                </c:pt>
                <c:pt idx="55">
                  <c:v>2010-08</c:v>
                </c:pt>
                <c:pt idx="56">
                  <c:v>2010-09</c:v>
                </c:pt>
                <c:pt idx="57">
                  <c:v>2010-10</c:v>
                </c:pt>
                <c:pt idx="58">
                  <c:v>2010-11</c:v>
                </c:pt>
                <c:pt idx="59">
                  <c:v>2010-12</c:v>
                </c:pt>
                <c:pt idx="60">
                  <c:v>2011-01</c:v>
                </c:pt>
                <c:pt idx="61">
                  <c:v>2011-02</c:v>
                </c:pt>
                <c:pt idx="62">
                  <c:v>2011-03</c:v>
                </c:pt>
                <c:pt idx="63">
                  <c:v>2011-04</c:v>
                </c:pt>
                <c:pt idx="64">
                  <c:v>2011-05</c:v>
                </c:pt>
                <c:pt idx="65">
                  <c:v>2011-06</c:v>
                </c:pt>
                <c:pt idx="66">
                  <c:v>2011-07</c:v>
                </c:pt>
                <c:pt idx="67">
                  <c:v>2011-08</c:v>
                </c:pt>
                <c:pt idx="68">
                  <c:v>2011-09</c:v>
                </c:pt>
                <c:pt idx="69">
                  <c:v>2011-10</c:v>
                </c:pt>
                <c:pt idx="70">
                  <c:v>2011-11</c:v>
                </c:pt>
                <c:pt idx="71">
                  <c:v>2011-12</c:v>
                </c:pt>
                <c:pt idx="72">
                  <c:v>2012-01</c:v>
                </c:pt>
                <c:pt idx="73">
                  <c:v>2012-02</c:v>
                </c:pt>
                <c:pt idx="74">
                  <c:v>2012-03</c:v>
                </c:pt>
                <c:pt idx="75">
                  <c:v>2012-04</c:v>
                </c:pt>
                <c:pt idx="76">
                  <c:v>2012-05</c:v>
                </c:pt>
                <c:pt idx="77">
                  <c:v>2012-06</c:v>
                </c:pt>
                <c:pt idx="78">
                  <c:v>2012-07</c:v>
                </c:pt>
                <c:pt idx="79">
                  <c:v>2012-08</c:v>
                </c:pt>
                <c:pt idx="80">
                  <c:v>2012-09</c:v>
                </c:pt>
                <c:pt idx="81">
                  <c:v>2012-10</c:v>
                </c:pt>
                <c:pt idx="82">
                  <c:v>2012-11</c:v>
                </c:pt>
                <c:pt idx="83">
                  <c:v>2012-12</c:v>
                </c:pt>
                <c:pt idx="84">
                  <c:v>2013-01</c:v>
                </c:pt>
                <c:pt idx="85">
                  <c:v>2013-02</c:v>
                </c:pt>
                <c:pt idx="86">
                  <c:v>2013-03</c:v>
                </c:pt>
                <c:pt idx="87">
                  <c:v>2013-04</c:v>
                </c:pt>
                <c:pt idx="88">
                  <c:v>2013-05</c:v>
                </c:pt>
                <c:pt idx="89">
                  <c:v>2013-06</c:v>
                </c:pt>
                <c:pt idx="90">
                  <c:v>2013-07</c:v>
                </c:pt>
                <c:pt idx="91">
                  <c:v>2013-08</c:v>
                </c:pt>
                <c:pt idx="92">
                  <c:v>2013-09</c:v>
                </c:pt>
                <c:pt idx="93">
                  <c:v>2013-10</c:v>
                </c:pt>
                <c:pt idx="94">
                  <c:v>2013-11</c:v>
                </c:pt>
                <c:pt idx="95">
                  <c:v>2013-12</c:v>
                </c:pt>
                <c:pt idx="96">
                  <c:v>2014-01</c:v>
                </c:pt>
                <c:pt idx="97">
                  <c:v>2014-02</c:v>
                </c:pt>
                <c:pt idx="98">
                  <c:v>2014-03</c:v>
                </c:pt>
                <c:pt idx="99">
                  <c:v>2014-04</c:v>
                </c:pt>
                <c:pt idx="100">
                  <c:v>2014-05</c:v>
                </c:pt>
                <c:pt idx="101">
                  <c:v>2014-06</c:v>
                </c:pt>
                <c:pt idx="102">
                  <c:v>2014-07</c:v>
                </c:pt>
                <c:pt idx="103">
                  <c:v>2014-08</c:v>
                </c:pt>
                <c:pt idx="104">
                  <c:v>2014-09</c:v>
                </c:pt>
                <c:pt idx="105">
                  <c:v>2014-10</c:v>
                </c:pt>
                <c:pt idx="106">
                  <c:v>2014-11</c:v>
                </c:pt>
                <c:pt idx="107">
                  <c:v>2014-12</c:v>
                </c:pt>
                <c:pt idx="108">
                  <c:v>2015-01</c:v>
                </c:pt>
                <c:pt idx="109">
                  <c:v>2015-02</c:v>
                </c:pt>
                <c:pt idx="110">
                  <c:v>2015-03</c:v>
                </c:pt>
                <c:pt idx="111">
                  <c:v>2015-04</c:v>
                </c:pt>
                <c:pt idx="112">
                  <c:v>2015-05</c:v>
                </c:pt>
                <c:pt idx="113">
                  <c:v>2015-06</c:v>
                </c:pt>
                <c:pt idx="114">
                  <c:v>2015-07</c:v>
                </c:pt>
                <c:pt idx="115">
                  <c:v>2015-08</c:v>
                </c:pt>
                <c:pt idx="116">
                  <c:v>2015-09</c:v>
                </c:pt>
                <c:pt idx="117">
                  <c:v>2015-10</c:v>
                </c:pt>
                <c:pt idx="118">
                  <c:v>2015-11</c:v>
                </c:pt>
                <c:pt idx="119">
                  <c:v>2015-12</c:v>
                </c:pt>
                <c:pt idx="120">
                  <c:v>2016-01</c:v>
                </c:pt>
                <c:pt idx="121">
                  <c:v>2016-02</c:v>
                </c:pt>
                <c:pt idx="122">
                  <c:v>2016-03</c:v>
                </c:pt>
                <c:pt idx="123">
                  <c:v>2016-04</c:v>
                </c:pt>
                <c:pt idx="124">
                  <c:v>2016-05</c:v>
                </c:pt>
                <c:pt idx="125">
                  <c:v>2016-06</c:v>
                </c:pt>
                <c:pt idx="126">
                  <c:v>2016-07</c:v>
                </c:pt>
                <c:pt idx="127">
                  <c:v>2016-08</c:v>
                </c:pt>
                <c:pt idx="128">
                  <c:v>2016-09</c:v>
                </c:pt>
                <c:pt idx="129">
                  <c:v>2016-10</c:v>
                </c:pt>
                <c:pt idx="130">
                  <c:v>2016-11</c:v>
                </c:pt>
                <c:pt idx="131">
                  <c:v>2016-12</c:v>
                </c:pt>
                <c:pt idx="132">
                  <c:v>2017-01</c:v>
                </c:pt>
                <c:pt idx="133">
                  <c:v>2017-02</c:v>
                </c:pt>
                <c:pt idx="134">
                  <c:v>2017-03</c:v>
                </c:pt>
                <c:pt idx="135">
                  <c:v>2017-04</c:v>
                </c:pt>
                <c:pt idx="136">
                  <c:v>2017-05</c:v>
                </c:pt>
                <c:pt idx="137">
                  <c:v>2017-06</c:v>
                </c:pt>
                <c:pt idx="138">
                  <c:v>2017-07</c:v>
                </c:pt>
                <c:pt idx="139">
                  <c:v>2017-08</c:v>
                </c:pt>
                <c:pt idx="140">
                  <c:v>2017-09</c:v>
                </c:pt>
                <c:pt idx="141">
                  <c:v>2017-10</c:v>
                </c:pt>
                <c:pt idx="142">
                  <c:v>2017-11</c:v>
                </c:pt>
                <c:pt idx="143">
                  <c:v>2017-12</c:v>
                </c:pt>
                <c:pt idx="144">
                  <c:v>2018-01</c:v>
                </c:pt>
                <c:pt idx="145">
                  <c:v>2018-02</c:v>
                </c:pt>
                <c:pt idx="146">
                  <c:v>2018-03</c:v>
                </c:pt>
                <c:pt idx="147">
                  <c:v>2018-04</c:v>
                </c:pt>
                <c:pt idx="148">
                  <c:v>2018-05</c:v>
                </c:pt>
                <c:pt idx="149">
                  <c:v>2018-06</c:v>
                </c:pt>
                <c:pt idx="150">
                  <c:v>2018-07</c:v>
                </c:pt>
                <c:pt idx="151">
                  <c:v>2018-08</c:v>
                </c:pt>
                <c:pt idx="152">
                  <c:v>2018-09</c:v>
                </c:pt>
                <c:pt idx="153">
                  <c:v>2018-10</c:v>
                </c:pt>
                <c:pt idx="154">
                  <c:v>2018-11</c:v>
                </c:pt>
                <c:pt idx="155">
                  <c:v>2018-12</c:v>
                </c:pt>
                <c:pt idx="156">
                  <c:v>2019-01</c:v>
                </c:pt>
                <c:pt idx="157">
                  <c:v>2019-02</c:v>
                </c:pt>
                <c:pt idx="158">
                  <c:v>2019-03</c:v>
                </c:pt>
                <c:pt idx="159">
                  <c:v>2019-04</c:v>
                </c:pt>
                <c:pt idx="160">
                  <c:v>2019-05</c:v>
                </c:pt>
                <c:pt idx="161">
                  <c:v>2019-06</c:v>
                </c:pt>
                <c:pt idx="162">
                  <c:v>2019-07</c:v>
                </c:pt>
                <c:pt idx="163">
                  <c:v>2019-08</c:v>
                </c:pt>
                <c:pt idx="164">
                  <c:v>2019-09</c:v>
                </c:pt>
                <c:pt idx="165">
                  <c:v>2019-10</c:v>
                </c:pt>
                <c:pt idx="166">
                  <c:v>2019-11</c:v>
                </c:pt>
                <c:pt idx="167">
                  <c:v>2019-12</c:v>
                </c:pt>
                <c:pt idx="168">
                  <c:v>2020-01</c:v>
                </c:pt>
                <c:pt idx="169">
                  <c:v>2020-02</c:v>
                </c:pt>
                <c:pt idx="170">
                  <c:v>2020-03</c:v>
                </c:pt>
                <c:pt idx="171">
                  <c:v>2020-04</c:v>
                </c:pt>
                <c:pt idx="172">
                  <c:v>2020-05</c:v>
                </c:pt>
                <c:pt idx="173">
                  <c:v>2020-06</c:v>
                </c:pt>
                <c:pt idx="174">
                  <c:v>2020-07</c:v>
                </c:pt>
                <c:pt idx="175">
                  <c:v>2020-08</c:v>
                </c:pt>
                <c:pt idx="176">
                  <c:v>2020-09</c:v>
                </c:pt>
                <c:pt idx="177">
                  <c:v>2020-10</c:v>
                </c:pt>
                <c:pt idx="178">
                  <c:v>2020-11</c:v>
                </c:pt>
                <c:pt idx="179">
                  <c:v>2020-12</c:v>
                </c:pt>
                <c:pt idx="180">
                  <c:v>2021-01</c:v>
                </c:pt>
                <c:pt idx="181">
                  <c:v>2021-02</c:v>
                </c:pt>
                <c:pt idx="182">
                  <c:v>2021-03</c:v>
                </c:pt>
                <c:pt idx="183">
                  <c:v>2021-04</c:v>
                </c:pt>
                <c:pt idx="184">
                  <c:v>2021-05</c:v>
                </c:pt>
                <c:pt idx="185">
                  <c:v>2021-06</c:v>
                </c:pt>
                <c:pt idx="186">
                  <c:v>2021-07</c:v>
                </c:pt>
                <c:pt idx="187">
                  <c:v>2021-08</c:v>
                </c:pt>
                <c:pt idx="188">
                  <c:v>2021-09</c:v>
                </c:pt>
                <c:pt idx="189">
                  <c:v>2021-10</c:v>
                </c:pt>
                <c:pt idx="190">
                  <c:v>2021-11</c:v>
                </c:pt>
                <c:pt idx="191">
                  <c:v>2021-12</c:v>
                </c:pt>
                <c:pt idx="192">
                  <c:v>2022-01</c:v>
                </c:pt>
                <c:pt idx="193">
                  <c:v>2022-02</c:v>
                </c:pt>
                <c:pt idx="194">
                  <c:v>2022-03</c:v>
                </c:pt>
                <c:pt idx="195">
                  <c:v>2022-04</c:v>
                </c:pt>
                <c:pt idx="196">
                  <c:v>2022-05</c:v>
                </c:pt>
                <c:pt idx="197">
                  <c:v>2022-06</c:v>
                </c:pt>
                <c:pt idx="198">
                  <c:v>2022-07</c:v>
                </c:pt>
                <c:pt idx="199">
                  <c:v>2022-08</c:v>
                </c:pt>
                <c:pt idx="200">
                  <c:v>2022-09</c:v>
                </c:pt>
                <c:pt idx="201">
                  <c:v>2022-10</c:v>
                </c:pt>
                <c:pt idx="202">
                  <c:v>2022-11</c:v>
                </c:pt>
                <c:pt idx="203">
                  <c:v>2022-12</c:v>
                </c:pt>
                <c:pt idx="204">
                  <c:v>2023-01</c:v>
                </c:pt>
                <c:pt idx="205">
                  <c:v>2023-02</c:v>
                </c:pt>
                <c:pt idx="206">
                  <c:v>2023-03</c:v>
                </c:pt>
                <c:pt idx="207">
                  <c:v>2023-04</c:v>
                </c:pt>
                <c:pt idx="208">
                  <c:v>2023-05</c:v>
                </c:pt>
                <c:pt idx="209">
                  <c:v>2023-06</c:v>
                </c:pt>
                <c:pt idx="210">
                  <c:v>2023-07</c:v>
                </c:pt>
                <c:pt idx="211">
                  <c:v>2023-08</c:v>
                </c:pt>
                <c:pt idx="212">
                  <c:v>2023-09</c:v>
                </c:pt>
                <c:pt idx="213">
                  <c:v>2023-10</c:v>
                </c:pt>
                <c:pt idx="214">
                  <c:v>2023-11</c:v>
                </c:pt>
                <c:pt idx="215">
                  <c:v>2023-12</c:v>
                </c:pt>
                <c:pt idx="216">
                  <c:v>2024-01</c:v>
                </c:pt>
                <c:pt idx="217">
                  <c:v>2024-02</c:v>
                </c:pt>
                <c:pt idx="218">
                  <c:v>2024-03</c:v>
                </c:pt>
                <c:pt idx="219">
                  <c:v>2024-04</c:v>
                </c:pt>
                <c:pt idx="220">
                  <c:v>2024-05</c:v>
                </c:pt>
                <c:pt idx="221">
                  <c:v>2024-06</c:v>
                </c:pt>
                <c:pt idx="222">
                  <c:v>2024-07</c:v>
                </c:pt>
                <c:pt idx="223">
                  <c:v>2024-08</c:v>
                </c:pt>
                <c:pt idx="224">
                  <c:v>2024-09</c:v>
                </c:pt>
                <c:pt idx="225">
                  <c:v>2024-10</c:v>
                </c:pt>
                <c:pt idx="226">
                  <c:v>2024-11</c:v>
                </c:pt>
                <c:pt idx="227">
                  <c:v>2024-12</c:v>
                </c:pt>
                <c:pt idx="228">
                  <c:v>2025-01</c:v>
                </c:pt>
                <c:pt idx="229">
                  <c:v>2025-02</c:v>
                </c:pt>
                <c:pt idx="230">
                  <c:v>2025-03</c:v>
                </c:pt>
                <c:pt idx="231">
                  <c:v>2025-04</c:v>
                </c:pt>
                <c:pt idx="232">
                  <c:v>2025-05</c:v>
                </c:pt>
                <c:pt idx="233">
                  <c:v>2025-06</c:v>
                </c:pt>
                <c:pt idx="234">
                  <c:v>2025-07</c:v>
                </c:pt>
              </c:strCache>
            </c:strRef>
          </c:cat>
          <c:val>
            <c:numRef>
              <c:f>'Monthly Trend'!$D$3:$D$237</c:f>
              <c:numCache>
                <c:formatCode>#,##0</c:formatCode>
                <c:ptCount val="235"/>
                <c:pt idx="0">
                  <c:v>1647458</c:v>
                </c:pt>
                <c:pt idx="1">
                  <c:v>1679287</c:v>
                </c:pt>
                <c:pt idx="2">
                  <c:v>2053148</c:v>
                </c:pt>
                <c:pt idx="3">
                  <c:v>1886143</c:v>
                </c:pt>
                <c:pt idx="4">
                  <c:v>2022892</c:v>
                </c:pt>
                <c:pt idx="5">
                  <c:v>2023555</c:v>
                </c:pt>
                <c:pt idx="6">
                  <c:v>2088567</c:v>
                </c:pt>
                <c:pt idx="7">
                  <c:v>2113242</c:v>
                </c:pt>
                <c:pt idx="8">
                  <c:v>1837141</c:v>
                </c:pt>
                <c:pt idx="9">
                  <c:v>1757858</c:v>
                </c:pt>
                <c:pt idx="10">
                  <c:v>1666851</c:v>
                </c:pt>
                <c:pt idx="11">
                  <c:v>1694729</c:v>
                </c:pt>
                <c:pt idx="12">
                  <c:v>1649845</c:v>
                </c:pt>
                <c:pt idx="13">
                  <c:v>1756417</c:v>
                </c:pt>
                <c:pt idx="14">
                  <c:v>2082136</c:v>
                </c:pt>
                <c:pt idx="15">
                  <c:v>1915633</c:v>
                </c:pt>
                <c:pt idx="16">
                  <c:v>2094140</c:v>
                </c:pt>
                <c:pt idx="17">
                  <c:v>1986626</c:v>
                </c:pt>
                <c:pt idx="18">
                  <c:v>2035278</c:v>
                </c:pt>
                <c:pt idx="19">
                  <c:v>2072247</c:v>
                </c:pt>
                <c:pt idx="20">
                  <c:v>1796309</c:v>
                </c:pt>
                <c:pt idx="21">
                  <c:v>1818401</c:v>
                </c:pt>
                <c:pt idx="22">
                  <c:v>1649535</c:v>
                </c:pt>
                <c:pt idx="23">
                  <c:v>1657362</c:v>
                </c:pt>
                <c:pt idx="24">
                  <c:v>1605802</c:v>
                </c:pt>
                <c:pt idx="25">
                  <c:v>1734125</c:v>
                </c:pt>
                <c:pt idx="26">
                  <c:v>1955535</c:v>
                </c:pt>
                <c:pt idx="27">
                  <c:v>1877913</c:v>
                </c:pt>
                <c:pt idx="28">
                  <c:v>1937399</c:v>
                </c:pt>
                <c:pt idx="29">
                  <c:v>1808803</c:v>
                </c:pt>
                <c:pt idx="30">
                  <c:v>1761678</c:v>
                </c:pt>
                <c:pt idx="31">
                  <c:v>1691935</c:v>
                </c:pt>
                <c:pt idx="32">
                  <c:v>1459667</c:v>
                </c:pt>
                <c:pt idx="33">
                  <c:v>1264947</c:v>
                </c:pt>
                <c:pt idx="34">
                  <c:v>1121428</c:v>
                </c:pt>
                <c:pt idx="35">
                  <c:v>1201066</c:v>
                </c:pt>
                <c:pt idx="36">
                  <c:v>1165237</c:v>
                </c:pt>
                <c:pt idx="37">
                  <c:v>1179966</c:v>
                </c:pt>
                <c:pt idx="38">
                  <c:v>1358119</c:v>
                </c:pt>
                <c:pt idx="39">
                  <c:v>1274228</c:v>
                </c:pt>
                <c:pt idx="40">
                  <c:v>1345654</c:v>
                </c:pt>
                <c:pt idx="41">
                  <c:v>1377320</c:v>
                </c:pt>
                <c:pt idx="42">
                  <c:v>1478459</c:v>
                </c:pt>
                <c:pt idx="43">
                  <c:v>1715057</c:v>
                </c:pt>
                <c:pt idx="44">
                  <c:v>1176732</c:v>
                </c:pt>
                <c:pt idx="45">
                  <c:v>1194037</c:v>
                </c:pt>
                <c:pt idx="46">
                  <c:v>1142305</c:v>
                </c:pt>
                <c:pt idx="47">
                  <c:v>1241935</c:v>
                </c:pt>
                <c:pt idx="48">
                  <c:v>1145046</c:v>
                </c:pt>
                <c:pt idx="49">
                  <c:v>1214864</c:v>
                </c:pt>
                <c:pt idx="50">
                  <c:v>1652707</c:v>
                </c:pt>
                <c:pt idx="51">
                  <c:v>1517985</c:v>
                </c:pt>
                <c:pt idx="52">
                  <c:v>1545186</c:v>
                </c:pt>
                <c:pt idx="53">
                  <c:v>1567771</c:v>
                </c:pt>
                <c:pt idx="54">
                  <c:v>1658728</c:v>
                </c:pt>
                <c:pt idx="55">
                  <c:v>1649328</c:v>
                </c:pt>
                <c:pt idx="56">
                  <c:v>1517957</c:v>
                </c:pt>
                <c:pt idx="57">
                  <c:v>1500876</c:v>
                </c:pt>
                <c:pt idx="58">
                  <c:v>1446304</c:v>
                </c:pt>
                <c:pt idx="59">
                  <c:v>1534160</c:v>
                </c:pt>
                <c:pt idx="60">
                  <c:v>1409573</c:v>
                </c:pt>
                <c:pt idx="61">
                  <c:v>1578620</c:v>
                </c:pt>
                <c:pt idx="62">
                  <c:v>1880184</c:v>
                </c:pt>
                <c:pt idx="63">
                  <c:v>1730308</c:v>
                </c:pt>
                <c:pt idx="64">
                  <c:v>1722780</c:v>
                </c:pt>
                <c:pt idx="65">
                  <c:v>1694947</c:v>
                </c:pt>
                <c:pt idx="66">
                  <c:v>1738259</c:v>
                </c:pt>
                <c:pt idx="67">
                  <c:v>1831560</c:v>
                </c:pt>
                <c:pt idx="68">
                  <c:v>1699488</c:v>
                </c:pt>
                <c:pt idx="69">
                  <c:v>1674697</c:v>
                </c:pt>
                <c:pt idx="70">
                  <c:v>1634144</c:v>
                </c:pt>
                <c:pt idx="71">
                  <c:v>1730175</c:v>
                </c:pt>
                <c:pt idx="72">
                  <c:v>1562289</c:v>
                </c:pt>
                <c:pt idx="73">
                  <c:v>1826411</c:v>
                </c:pt>
                <c:pt idx="74">
                  <c:v>2082901</c:v>
                </c:pt>
                <c:pt idx="75">
                  <c:v>1910536</c:v>
                </c:pt>
                <c:pt idx="76">
                  <c:v>2021998</c:v>
                </c:pt>
                <c:pt idx="77">
                  <c:v>1946366</c:v>
                </c:pt>
                <c:pt idx="78">
                  <c:v>2005968</c:v>
                </c:pt>
                <c:pt idx="79">
                  <c:v>2105291</c:v>
                </c:pt>
                <c:pt idx="80">
                  <c:v>1846418</c:v>
                </c:pt>
                <c:pt idx="81">
                  <c:v>1835290</c:v>
                </c:pt>
                <c:pt idx="82">
                  <c:v>1805772</c:v>
                </c:pt>
                <c:pt idx="83">
                  <c:v>1831942</c:v>
                </c:pt>
                <c:pt idx="84">
                  <c:v>1760979</c:v>
                </c:pt>
                <c:pt idx="85">
                  <c:v>1888825</c:v>
                </c:pt>
                <c:pt idx="86">
                  <c:v>2207084</c:v>
                </c:pt>
                <c:pt idx="87">
                  <c:v>2135961</c:v>
                </c:pt>
                <c:pt idx="88">
                  <c:v>2248424</c:v>
                </c:pt>
                <c:pt idx="89">
                  <c:v>2125745</c:v>
                </c:pt>
                <c:pt idx="90">
                  <c:v>2284259</c:v>
                </c:pt>
                <c:pt idx="91">
                  <c:v>2333268</c:v>
                </c:pt>
                <c:pt idx="92">
                  <c:v>2006474</c:v>
                </c:pt>
                <c:pt idx="93">
                  <c:v>1987478</c:v>
                </c:pt>
                <c:pt idx="94">
                  <c:v>1945214</c:v>
                </c:pt>
                <c:pt idx="95">
                  <c:v>1951045</c:v>
                </c:pt>
                <c:pt idx="96">
                  <c:v>1852593</c:v>
                </c:pt>
                <c:pt idx="97">
                  <c:v>1987716</c:v>
                </c:pt>
                <c:pt idx="98">
                  <c:v>2401306</c:v>
                </c:pt>
                <c:pt idx="99">
                  <c:v>2221910</c:v>
                </c:pt>
                <c:pt idx="100">
                  <c:v>2365841</c:v>
                </c:pt>
                <c:pt idx="101">
                  <c:v>2206622</c:v>
                </c:pt>
                <c:pt idx="102">
                  <c:v>2353641</c:v>
                </c:pt>
                <c:pt idx="103">
                  <c:v>2422807</c:v>
                </c:pt>
                <c:pt idx="104">
                  <c:v>2203883</c:v>
                </c:pt>
                <c:pt idx="105">
                  <c:v>2133258</c:v>
                </c:pt>
                <c:pt idx="106">
                  <c:v>1996525</c:v>
                </c:pt>
                <c:pt idx="107">
                  <c:v>2118137</c:v>
                </c:pt>
                <c:pt idx="108">
                  <c:v>1995059</c:v>
                </c:pt>
                <c:pt idx="109">
                  <c:v>2069097</c:v>
                </c:pt>
                <c:pt idx="110">
                  <c:v>2517785</c:v>
                </c:pt>
                <c:pt idx="111">
                  <c:v>2328497</c:v>
                </c:pt>
                <c:pt idx="112">
                  <c:v>2445860</c:v>
                </c:pt>
                <c:pt idx="113">
                  <c:v>2436258</c:v>
                </c:pt>
                <c:pt idx="114">
                  <c:v>2543460</c:v>
                </c:pt>
                <c:pt idx="115">
                  <c:v>2577876</c:v>
                </c:pt>
                <c:pt idx="116">
                  <c:v>2349205</c:v>
                </c:pt>
                <c:pt idx="117">
                  <c:v>2271258</c:v>
                </c:pt>
                <c:pt idx="118">
                  <c:v>2120407</c:v>
                </c:pt>
                <c:pt idx="119">
                  <c:v>2200161</c:v>
                </c:pt>
                <c:pt idx="120">
                  <c:v>2031784</c:v>
                </c:pt>
                <c:pt idx="121">
                  <c:v>2347514</c:v>
                </c:pt>
                <c:pt idx="122">
                  <c:v>2547354</c:v>
                </c:pt>
                <c:pt idx="123">
                  <c:v>2394339</c:v>
                </c:pt>
                <c:pt idx="124">
                  <c:v>2463310</c:v>
                </c:pt>
                <c:pt idx="125">
                  <c:v>2404572</c:v>
                </c:pt>
                <c:pt idx="126">
                  <c:v>2468369</c:v>
                </c:pt>
                <c:pt idx="127">
                  <c:v>2608770</c:v>
                </c:pt>
                <c:pt idx="128">
                  <c:v>2350653</c:v>
                </c:pt>
                <c:pt idx="129">
                  <c:v>2237854</c:v>
                </c:pt>
                <c:pt idx="130">
                  <c:v>2187130</c:v>
                </c:pt>
                <c:pt idx="131">
                  <c:v>2322834</c:v>
                </c:pt>
                <c:pt idx="132">
                  <c:v>2069219</c:v>
                </c:pt>
                <c:pt idx="133">
                  <c:v>2160525</c:v>
                </c:pt>
                <c:pt idx="134">
                  <c:v>2602327</c:v>
                </c:pt>
                <c:pt idx="135">
                  <c:v>2290883</c:v>
                </c:pt>
                <c:pt idx="136">
                  <c:v>2519180</c:v>
                </c:pt>
                <c:pt idx="137">
                  <c:v>2382009</c:v>
                </c:pt>
                <c:pt idx="138">
                  <c:v>2431283</c:v>
                </c:pt>
                <c:pt idx="139">
                  <c:v>2453083</c:v>
                </c:pt>
                <c:pt idx="140">
                  <c:v>2277344</c:v>
                </c:pt>
                <c:pt idx="141">
                  <c:v>2223533</c:v>
                </c:pt>
                <c:pt idx="142">
                  <c:v>2190039</c:v>
                </c:pt>
                <c:pt idx="143">
                  <c:v>2217431</c:v>
                </c:pt>
                <c:pt idx="144">
                  <c:v>2088286</c:v>
                </c:pt>
                <c:pt idx="145">
                  <c:v>2158995</c:v>
                </c:pt>
                <c:pt idx="146">
                  <c:v>2624862</c:v>
                </c:pt>
                <c:pt idx="147">
                  <c:v>2322466</c:v>
                </c:pt>
                <c:pt idx="148">
                  <c:v>2549138</c:v>
                </c:pt>
                <c:pt idx="149">
                  <c:v>2422229</c:v>
                </c:pt>
                <c:pt idx="150">
                  <c:v>2467357</c:v>
                </c:pt>
                <c:pt idx="151">
                  <c:v>2562729</c:v>
                </c:pt>
                <c:pt idx="152">
                  <c:v>2251091</c:v>
                </c:pt>
                <c:pt idx="153">
                  <c:v>2309638</c:v>
                </c:pt>
                <c:pt idx="154">
                  <c:v>2227339</c:v>
                </c:pt>
                <c:pt idx="155">
                  <c:v>2278150</c:v>
                </c:pt>
                <c:pt idx="156">
                  <c:v>2082969</c:v>
                </c:pt>
                <c:pt idx="157">
                  <c:v>2159312</c:v>
                </c:pt>
                <c:pt idx="158">
                  <c:v>2669192</c:v>
                </c:pt>
                <c:pt idx="159">
                  <c:v>2455205</c:v>
                </c:pt>
                <c:pt idx="160">
                  <c:v>2595768</c:v>
                </c:pt>
                <c:pt idx="161">
                  <c:v>2408043</c:v>
                </c:pt>
                <c:pt idx="162">
                  <c:v>2593527</c:v>
                </c:pt>
                <c:pt idx="163">
                  <c:v>2675222</c:v>
                </c:pt>
                <c:pt idx="164">
                  <c:v>2368105</c:v>
                </c:pt>
                <c:pt idx="165">
                  <c:v>2375355</c:v>
                </c:pt>
                <c:pt idx="166">
                  <c:v>2364970</c:v>
                </c:pt>
                <c:pt idx="167">
                  <c:v>2363792</c:v>
                </c:pt>
                <c:pt idx="168">
                  <c:v>2223793</c:v>
                </c:pt>
                <c:pt idx="169">
                  <c:v>2344720</c:v>
                </c:pt>
                <c:pt idx="170">
                  <c:v>2012138</c:v>
                </c:pt>
                <c:pt idx="171">
                  <c:v>1598790</c:v>
                </c:pt>
                <c:pt idx="172">
                  <c:v>2417240</c:v>
                </c:pt>
                <c:pt idx="173">
                  <c:v>2615241</c:v>
                </c:pt>
                <c:pt idx="174">
                  <c:v>2587098</c:v>
                </c:pt>
                <c:pt idx="175">
                  <c:v>2519617</c:v>
                </c:pt>
                <c:pt idx="176">
                  <c:v>2422644</c:v>
                </c:pt>
                <c:pt idx="177">
                  <c:v>2409904</c:v>
                </c:pt>
                <c:pt idx="178">
                  <c:v>2162621</c:v>
                </c:pt>
                <c:pt idx="179">
                  <c:v>2357456</c:v>
                </c:pt>
                <c:pt idx="180">
                  <c:v>2267375</c:v>
                </c:pt>
                <c:pt idx="181">
                  <c:v>2166208</c:v>
                </c:pt>
                <c:pt idx="182">
                  <c:v>3193812</c:v>
                </c:pt>
                <c:pt idx="183">
                  <c:v>2908136</c:v>
                </c:pt>
                <c:pt idx="184">
                  <c:v>2829811</c:v>
                </c:pt>
                <c:pt idx="185">
                  <c:v>2746129</c:v>
                </c:pt>
                <c:pt idx="186">
                  <c:v>2667402</c:v>
                </c:pt>
                <c:pt idx="187">
                  <c:v>2534874</c:v>
                </c:pt>
                <c:pt idx="188">
                  <c:v>2343682</c:v>
                </c:pt>
                <c:pt idx="189">
                  <c:v>2303315</c:v>
                </c:pt>
                <c:pt idx="190">
                  <c:v>2238671</c:v>
                </c:pt>
                <c:pt idx="191">
                  <c:v>2277727</c:v>
                </c:pt>
                <c:pt idx="192">
                  <c:v>2107083</c:v>
                </c:pt>
                <c:pt idx="193">
                  <c:v>2199637</c:v>
                </c:pt>
                <c:pt idx="194">
                  <c:v>2691647</c:v>
                </c:pt>
                <c:pt idx="195">
                  <c:v>2456528</c:v>
                </c:pt>
                <c:pt idx="196">
                  <c:v>2395442</c:v>
                </c:pt>
                <c:pt idx="197">
                  <c:v>2296562</c:v>
                </c:pt>
                <c:pt idx="198">
                  <c:v>2177555</c:v>
                </c:pt>
                <c:pt idx="199">
                  <c:v>2304010</c:v>
                </c:pt>
                <c:pt idx="200">
                  <c:v>2121762</c:v>
                </c:pt>
                <c:pt idx="201">
                  <c:v>2053060</c:v>
                </c:pt>
                <c:pt idx="202">
                  <c:v>1889329</c:v>
                </c:pt>
                <c:pt idx="203">
                  <c:v>1924185</c:v>
                </c:pt>
                <c:pt idx="204">
                  <c:v>1919459</c:v>
                </c:pt>
                <c:pt idx="205">
                  <c:v>1936879</c:v>
                </c:pt>
                <c:pt idx="206">
                  <c:v>2276708</c:v>
                </c:pt>
                <c:pt idx="207">
                  <c:v>2049871</c:v>
                </c:pt>
                <c:pt idx="208">
                  <c:v>2212636</c:v>
                </c:pt>
                <c:pt idx="209">
                  <c:v>2129689</c:v>
                </c:pt>
                <c:pt idx="210">
                  <c:v>2097431</c:v>
                </c:pt>
                <c:pt idx="211">
                  <c:v>2199744</c:v>
                </c:pt>
                <c:pt idx="212">
                  <c:v>2032335</c:v>
                </c:pt>
                <c:pt idx="213">
                  <c:v>1938988</c:v>
                </c:pt>
                <c:pt idx="214">
                  <c:v>1866639</c:v>
                </c:pt>
                <c:pt idx="215">
                  <c:v>1995565</c:v>
                </c:pt>
                <c:pt idx="216">
                  <c:v>1840692</c:v>
                </c:pt>
                <c:pt idx="217">
                  <c:v>2004108</c:v>
                </c:pt>
                <c:pt idx="218">
                  <c:v>2275859</c:v>
                </c:pt>
                <c:pt idx="219">
                  <c:v>2150333</c:v>
                </c:pt>
                <c:pt idx="220">
                  <c:v>2267456</c:v>
                </c:pt>
                <c:pt idx="221">
                  <c:v>2040286</c:v>
                </c:pt>
                <c:pt idx="222">
                  <c:v>2222395</c:v>
                </c:pt>
                <c:pt idx="223">
                  <c:v>2253304</c:v>
                </c:pt>
                <c:pt idx="224">
                  <c:v>2004057</c:v>
                </c:pt>
                <c:pt idx="225">
                  <c:v>2106057</c:v>
                </c:pt>
                <c:pt idx="226">
                  <c:v>2056307</c:v>
                </c:pt>
                <c:pt idx="227">
                  <c:v>2144938</c:v>
                </c:pt>
                <c:pt idx="228">
                  <c:v>1922359</c:v>
                </c:pt>
                <c:pt idx="229">
                  <c:v>1973323</c:v>
                </c:pt>
                <c:pt idx="230">
                  <c:v>2554813</c:v>
                </c:pt>
                <c:pt idx="231">
                  <c:v>2359636</c:v>
                </c:pt>
                <c:pt idx="232">
                  <c:v>2293128</c:v>
                </c:pt>
                <c:pt idx="233">
                  <c:v>2146065</c:v>
                </c:pt>
                <c:pt idx="234">
                  <c:v>2283277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353288"/>
        <c:axId val="17501644"/>
      </c:lineChart>
      <c:catAx>
        <c:axId val="313532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01644"/>
        <c:crosses val="autoZero"/>
        <c:auto val="1"/>
        <c:lblAlgn val="ctr"/>
        <c:lblOffset val="100"/>
        <c:noMultiLvlLbl val="0"/>
      </c:catAx>
      <c:valAx>
        <c:axId val="17501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Originations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532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39960</xdr:rowOff>
    </xdr:from>
    <xdr:to>
      <xdr:col>6</xdr:col>
      <xdr:colOff>25200</xdr:colOff>
      <xdr:row>50</xdr:row>
      <xdr:rowOff>126720</xdr:rowOff>
    </xdr:to>
    <xdr:graphicFrame>
      <xdr:nvGraphicFramePr>
        <xdr:cNvPr id="0" name="Chart 1"/>
        <xdr:cNvGraphicFramePr/>
      </xdr:nvGraphicFramePr>
      <xdr:xfrm>
        <a:off x="0" y="4924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21</xdr:col>
      <xdr:colOff>295560</xdr:colOff>
      <xdr:row>32</xdr:row>
      <xdr:rowOff>44640</xdr:rowOff>
    </xdr:to>
    <xdr:graphicFrame>
      <xdr:nvGraphicFramePr>
        <xdr:cNvPr id="1" name="Chart 1"/>
        <xdr:cNvGraphicFramePr/>
      </xdr:nvGraphicFramePr>
      <xdr:xfrm>
        <a:off x="5404320" y="54288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n">
        <v>72</v>
      </c>
      <c r="B3" s="3" t="s">
        <v>7</v>
      </c>
      <c r="C3" s="3" t="s">
        <v>8</v>
      </c>
      <c r="D3" s="4" t="n">
        <v>1876300</v>
      </c>
      <c r="E3" s="4" t="n">
        <v>1647458</v>
      </c>
      <c r="F3" s="3" t="n">
        <v>2006</v>
      </c>
    </row>
    <row r="4" customFormat="false" ht="15" hidden="false" customHeight="false" outlineLevel="0" collapsed="false">
      <c r="A4" s="5" t="n">
        <v>73</v>
      </c>
      <c r="B4" s="5" t="s">
        <v>9</v>
      </c>
      <c r="C4" s="5" t="s">
        <v>10</v>
      </c>
      <c r="D4" s="6" t="n">
        <v>1803623</v>
      </c>
      <c r="E4" s="6" t="n">
        <v>1679287</v>
      </c>
      <c r="F4" s="5" t="n">
        <v>2006</v>
      </c>
    </row>
    <row r="5" customFormat="false" ht="15" hidden="false" customHeight="false" outlineLevel="0" collapsed="false">
      <c r="A5" s="3" t="n">
        <v>74</v>
      </c>
      <c r="B5" s="3" t="s">
        <v>11</v>
      </c>
      <c r="C5" s="3" t="s">
        <v>12</v>
      </c>
      <c r="D5" s="4" t="n">
        <v>1865094</v>
      </c>
      <c r="E5" s="4" t="n">
        <v>2053148</v>
      </c>
      <c r="F5" s="3" t="n">
        <v>2006</v>
      </c>
    </row>
    <row r="6" customFormat="false" ht="15" hidden="false" customHeight="false" outlineLevel="0" collapsed="false">
      <c r="A6" s="5" t="n">
        <v>75</v>
      </c>
      <c r="B6" s="5" t="s">
        <v>13</v>
      </c>
      <c r="C6" s="5" t="s">
        <v>14</v>
      </c>
      <c r="D6" s="6" t="n">
        <v>1823708</v>
      </c>
      <c r="E6" s="6" t="n">
        <v>1886143</v>
      </c>
      <c r="F6" s="5" t="n">
        <v>2006</v>
      </c>
    </row>
    <row r="7" customFormat="false" ht="15" hidden="false" customHeight="false" outlineLevel="0" collapsed="false">
      <c r="A7" s="3" t="n">
        <v>76</v>
      </c>
      <c r="B7" s="3" t="s">
        <v>15</v>
      </c>
      <c r="C7" s="3" t="s">
        <v>16</v>
      </c>
      <c r="D7" s="4" t="n">
        <v>1827906</v>
      </c>
      <c r="E7" s="4" t="n">
        <v>2022892</v>
      </c>
      <c r="F7" s="3" t="n">
        <v>2006</v>
      </c>
    </row>
    <row r="8" customFormat="false" ht="15" hidden="false" customHeight="false" outlineLevel="0" collapsed="false">
      <c r="A8" s="5" t="n">
        <v>77</v>
      </c>
      <c r="B8" s="5" t="s">
        <v>17</v>
      </c>
      <c r="C8" s="5" t="s">
        <v>18</v>
      </c>
      <c r="D8" s="6" t="n">
        <v>1876027</v>
      </c>
      <c r="E8" s="6" t="n">
        <v>2023555</v>
      </c>
      <c r="F8" s="5" t="n">
        <v>2006</v>
      </c>
    </row>
    <row r="9" customFormat="false" ht="15" hidden="false" customHeight="false" outlineLevel="0" collapsed="false">
      <c r="A9" s="3" t="n">
        <v>78</v>
      </c>
      <c r="B9" s="3" t="s">
        <v>19</v>
      </c>
      <c r="C9" s="3" t="s">
        <v>20</v>
      </c>
      <c r="D9" s="4" t="n">
        <v>1888816</v>
      </c>
      <c r="E9" s="4" t="n">
        <v>2088567</v>
      </c>
      <c r="F9" s="3" t="n">
        <v>2006</v>
      </c>
    </row>
    <row r="10" customFormat="false" ht="15" hidden="false" customHeight="false" outlineLevel="0" collapsed="false">
      <c r="A10" s="5" t="n">
        <v>79</v>
      </c>
      <c r="B10" s="5" t="s">
        <v>21</v>
      </c>
      <c r="C10" s="5" t="s">
        <v>22</v>
      </c>
      <c r="D10" s="6" t="n">
        <v>1907666</v>
      </c>
      <c r="E10" s="6" t="n">
        <v>2113242</v>
      </c>
      <c r="F10" s="5" t="n">
        <v>2006</v>
      </c>
    </row>
    <row r="11" customFormat="false" ht="15" hidden="false" customHeight="false" outlineLevel="0" collapsed="false">
      <c r="A11" s="3" t="n">
        <v>80</v>
      </c>
      <c r="B11" s="3" t="s">
        <v>23</v>
      </c>
      <c r="C11" s="3" t="s">
        <v>24</v>
      </c>
      <c r="D11" s="4" t="n">
        <v>1888992</v>
      </c>
      <c r="E11" s="4" t="n">
        <v>1837141</v>
      </c>
      <c r="F11" s="3" t="n">
        <v>2006</v>
      </c>
    </row>
    <row r="12" customFormat="false" ht="15" hidden="false" customHeight="false" outlineLevel="0" collapsed="false">
      <c r="A12" s="5" t="n">
        <v>81</v>
      </c>
      <c r="B12" s="5" t="s">
        <v>25</v>
      </c>
      <c r="C12" s="5" t="s">
        <v>26</v>
      </c>
      <c r="D12" s="6" t="n">
        <v>1933212</v>
      </c>
      <c r="E12" s="6" t="n">
        <v>1757858</v>
      </c>
      <c r="F12" s="5" t="n">
        <v>2006</v>
      </c>
    </row>
    <row r="13" customFormat="false" ht="15" hidden="false" customHeight="false" outlineLevel="0" collapsed="false">
      <c r="A13" s="3" t="n">
        <v>82</v>
      </c>
      <c r="B13" s="3" t="s">
        <v>27</v>
      </c>
      <c r="C13" s="3" t="s">
        <v>28</v>
      </c>
      <c r="D13" s="4" t="n">
        <v>1904733</v>
      </c>
      <c r="E13" s="4" t="n">
        <v>1666851</v>
      </c>
      <c r="F13" s="3" t="n">
        <v>2006</v>
      </c>
    </row>
    <row r="14" customFormat="false" ht="15" hidden="false" customHeight="false" outlineLevel="0" collapsed="false">
      <c r="A14" s="5" t="n">
        <v>83</v>
      </c>
      <c r="B14" s="5" t="s">
        <v>29</v>
      </c>
      <c r="C14" s="5" t="s">
        <v>30</v>
      </c>
      <c r="D14" s="6" t="n">
        <v>1880324</v>
      </c>
      <c r="E14" s="6" t="n">
        <v>1694729</v>
      </c>
      <c r="F14" s="5" t="n">
        <v>2006</v>
      </c>
    </row>
    <row r="15" customFormat="false" ht="15" hidden="false" customHeight="false" outlineLevel="0" collapsed="false">
      <c r="A15" s="3" t="n">
        <v>84</v>
      </c>
      <c r="B15" s="3" t="s">
        <v>31</v>
      </c>
      <c r="C15" s="3" t="s">
        <v>32</v>
      </c>
      <c r="D15" s="4" t="n">
        <v>1882256</v>
      </c>
      <c r="E15" s="4" t="n">
        <v>1649845</v>
      </c>
      <c r="F15" s="3" t="n">
        <v>2007</v>
      </c>
    </row>
    <row r="16" customFormat="false" ht="15" hidden="false" customHeight="false" outlineLevel="0" collapsed="false">
      <c r="A16" s="5" t="n">
        <v>85</v>
      </c>
      <c r="B16" s="5" t="s">
        <v>33</v>
      </c>
      <c r="C16" s="5" t="s">
        <v>34</v>
      </c>
      <c r="D16" s="6" t="n">
        <v>1883299</v>
      </c>
      <c r="E16" s="6" t="n">
        <v>1756417</v>
      </c>
      <c r="F16" s="5" t="n">
        <v>2007</v>
      </c>
    </row>
    <row r="17" customFormat="false" ht="15" hidden="false" customHeight="false" outlineLevel="0" collapsed="false">
      <c r="A17" s="3" t="n">
        <v>86</v>
      </c>
      <c r="B17" s="3" t="s">
        <v>35</v>
      </c>
      <c r="C17" s="3" t="s">
        <v>36</v>
      </c>
      <c r="D17" s="4" t="n">
        <v>1890413</v>
      </c>
      <c r="E17" s="4" t="n">
        <v>2082136</v>
      </c>
      <c r="F17" s="3" t="n">
        <v>2007</v>
      </c>
    </row>
    <row r="18" customFormat="false" ht="15" hidden="false" customHeight="false" outlineLevel="0" collapsed="false">
      <c r="A18" s="5" t="n">
        <v>87</v>
      </c>
      <c r="B18" s="5" t="s">
        <v>37</v>
      </c>
      <c r="C18" s="5" t="s">
        <v>38</v>
      </c>
      <c r="D18" s="6" t="n">
        <v>1849416</v>
      </c>
      <c r="E18" s="6" t="n">
        <v>1915633</v>
      </c>
      <c r="F18" s="5" t="n">
        <v>2007</v>
      </c>
    </row>
    <row r="19" customFormat="false" ht="15" hidden="false" customHeight="false" outlineLevel="0" collapsed="false">
      <c r="A19" s="3" t="n">
        <v>88</v>
      </c>
      <c r="B19" s="3" t="s">
        <v>39</v>
      </c>
      <c r="C19" s="3" t="s">
        <v>40</v>
      </c>
      <c r="D19" s="4" t="n">
        <v>1900419</v>
      </c>
      <c r="E19" s="4" t="n">
        <v>2094140</v>
      </c>
      <c r="F19" s="3" t="n">
        <v>2007</v>
      </c>
    </row>
    <row r="20" customFormat="false" ht="15" hidden="false" customHeight="false" outlineLevel="0" collapsed="false">
      <c r="A20" s="5" t="n">
        <v>89</v>
      </c>
      <c r="B20" s="5" t="s">
        <v>41</v>
      </c>
      <c r="C20" s="5" t="s">
        <v>42</v>
      </c>
      <c r="D20" s="6" t="n">
        <v>1844264</v>
      </c>
      <c r="E20" s="6" t="n">
        <v>1986626</v>
      </c>
      <c r="F20" s="5" t="n">
        <v>2007</v>
      </c>
    </row>
    <row r="21" customFormat="false" ht="15" hidden="false" customHeight="false" outlineLevel="0" collapsed="false">
      <c r="A21" s="3" t="n">
        <v>90</v>
      </c>
      <c r="B21" s="3" t="s">
        <v>43</v>
      </c>
      <c r="C21" s="3" t="s">
        <v>44</v>
      </c>
      <c r="D21" s="4" t="n">
        <v>1838538</v>
      </c>
      <c r="E21" s="4" t="n">
        <v>2035278</v>
      </c>
      <c r="F21" s="3" t="n">
        <v>2007</v>
      </c>
    </row>
    <row r="22" customFormat="false" ht="15" hidden="false" customHeight="false" outlineLevel="0" collapsed="false">
      <c r="A22" s="5" t="n">
        <v>91</v>
      </c>
      <c r="B22" s="5" t="s">
        <v>45</v>
      </c>
      <c r="C22" s="5" t="s">
        <v>46</v>
      </c>
      <c r="D22" s="6" t="n">
        <v>1874385</v>
      </c>
      <c r="E22" s="6" t="n">
        <v>2072247</v>
      </c>
      <c r="F22" s="5" t="n">
        <v>2007</v>
      </c>
    </row>
    <row r="23" customFormat="false" ht="15" hidden="false" customHeight="false" outlineLevel="0" collapsed="false">
      <c r="A23" s="3" t="n">
        <v>92</v>
      </c>
      <c r="B23" s="3" t="s">
        <v>47</v>
      </c>
      <c r="C23" s="3" t="s">
        <v>48</v>
      </c>
      <c r="D23" s="4" t="n">
        <v>1846389</v>
      </c>
      <c r="E23" s="4" t="n">
        <v>1796309</v>
      </c>
      <c r="F23" s="3" t="n">
        <v>2007</v>
      </c>
    </row>
    <row r="24" customFormat="false" ht="15" hidden="false" customHeight="false" outlineLevel="0" collapsed="false">
      <c r="A24" s="5" t="n">
        <v>93</v>
      </c>
      <c r="B24" s="5" t="s">
        <v>49</v>
      </c>
      <c r="C24" s="5" t="s">
        <v>50</v>
      </c>
      <c r="D24" s="6" t="n">
        <v>1995345</v>
      </c>
      <c r="E24" s="6" t="n">
        <v>1818401</v>
      </c>
      <c r="F24" s="5" t="n">
        <v>2007</v>
      </c>
    </row>
    <row r="25" customFormat="false" ht="15" hidden="false" customHeight="false" outlineLevel="0" collapsed="false">
      <c r="A25" s="3" t="n">
        <v>94</v>
      </c>
      <c r="B25" s="3" t="s">
        <v>51</v>
      </c>
      <c r="C25" s="3" t="s">
        <v>52</v>
      </c>
      <c r="D25" s="4" t="n">
        <v>1883235</v>
      </c>
      <c r="E25" s="4" t="n">
        <v>1649535</v>
      </c>
      <c r="F25" s="3" t="n">
        <v>2007</v>
      </c>
    </row>
    <row r="26" customFormat="false" ht="15" hidden="false" customHeight="false" outlineLevel="0" collapsed="false">
      <c r="A26" s="5" t="n">
        <v>95</v>
      </c>
      <c r="B26" s="5" t="s">
        <v>53</v>
      </c>
      <c r="C26" s="5" t="s">
        <v>54</v>
      </c>
      <c r="D26" s="6" t="n">
        <v>1830157</v>
      </c>
      <c r="E26" s="6" t="n">
        <v>1657362</v>
      </c>
      <c r="F26" s="5" t="n">
        <v>2007</v>
      </c>
    </row>
    <row r="27" customFormat="false" ht="15" hidden="false" customHeight="false" outlineLevel="0" collapsed="false">
      <c r="A27" s="3" t="n">
        <v>96</v>
      </c>
      <c r="B27" s="3" t="s">
        <v>55</v>
      </c>
      <c r="C27" s="3" t="s">
        <v>56</v>
      </c>
      <c r="D27" s="4" t="n">
        <v>1840797</v>
      </c>
      <c r="E27" s="4" t="n">
        <v>1605802</v>
      </c>
      <c r="F27" s="3" t="n">
        <v>2008</v>
      </c>
    </row>
    <row r="28" customFormat="false" ht="15" hidden="false" customHeight="false" outlineLevel="0" collapsed="false">
      <c r="A28" s="5" t="n">
        <v>97</v>
      </c>
      <c r="B28" s="5" t="s">
        <v>57</v>
      </c>
      <c r="C28" s="5" t="s">
        <v>58</v>
      </c>
      <c r="D28" s="6" t="n">
        <v>1850734</v>
      </c>
      <c r="E28" s="6" t="n">
        <v>1734125</v>
      </c>
      <c r="F28" s="5" t="n">
        <v>2008</v>
      </c>
    </row>
    <row r="29" customFormat="false" ht="15" hidden="false" customHeight="false" outlineLevel="0" collapsed="false">
      <c r="A29" s="3" t="n">
        <v>98</v>
      </c>
      <c r="B29" s="3" t="s">
        <v>59</v>
      </c>
      <c r="C29" s="3" t="s">
        <v>60</v>
      </c>
      <c r="D29" s="4" t="n">
        <v>1772267</v>
      </c>
      <c r="E29" s="4" t="n">
        <v>1955535</v>
      </c>
      <c r="F29" s="3" t="n">
        <v>2008</v>
      </c>
    </row>
    <row r="30" customFormat="false" ht="15" hidden="false" customHeight="false" outlineLevel="0" collapsed="false">
      <c r="A30" s="5" t="n">
        <v>99</v>
      </c>
      <c r="B30" s="5" t="s">
        <v>61</v>
      </c>
      <c r="C30" s="5" t="s">
        <v>62</v>
      </c>
      <c r="D30" s="6" t="n">
        <v>1807139</v>
      </c>
      <c r="E30" s="6" t="n">
        <v>1877913</v>
      </c>
      <c r="F30" s="5" t="n">
        <v>2008</v>
      </c>
    </row>
    <row r="31" customFormat="false" ht="15" hidden="false" customHeight="false" outlineLevel="0" collapsed="false">
      <c r="A31" s="3" t="n">
        <v>100</v>
      </c>
      <c r="B31" s="3" t="s">
        <v>63</v>
      </c>
      <c r="C31" s="3" t="s">
        <v>64</v>
      </c>
      <c r="D31" s="4" t="n">
        <v>1770471</v>
      </c>
      <c r="E31" s="4" t="n">
        <v>1937399</v>
      </c>
      <c r="F31" s="3" t="n">
        <v>2008</v>
      </c>
    </row>
    <row r="32" customFormat="false" ht="15" hidden="false" customHeight="false" outlineLevel="0" collapsed="false">
      <c r="A32" s="5" t="n">
        <v>101</v>
      </c>
      <c r="B32" s="5" t="s">
        <v>65</v>
      </c>
      <c r="C32" s="5" t="s">
        <v>66</v>
      </c>
      <c r="D32" s="6" t="n">
        <v>1687048</v>
      </c>
      <c r="E32" s="6" t="n">
        <v>1808803</v>
      </c>
      <c r="F32" s="5" t="n">
        <v>2008</v>
      </c>
    </row>
    <row r="33" customFormat="false" ht="15" hidden="false" customHeight="false" outlineLevel="0" collapsed="false">
      <c r="A33" s="3" t="n">
        <v>102</v>
      </c>
      <c r="B33" s="3" t="s">
        <v>67</v>
      </c>
      <c r="C33" s="3" t="s">
        <v>68</v>
      </c>
      <c r="D33" s="4" t="n">
        <v>1595440</v>
      </c>
      <c r="E33" s="4" t="n">
        <v>1761678</v>
      </c>
      <c r="F33" s="3" t="n">
        <v>2008</v>
      </c>
    </row>
    <row r="34" customFormat="false" ht="15" hidden="false" customHeight="false" outlineLevel="0" collapsed="false">
      <c r="A34" s="5" t="n">
        <v>103</v>
      </c>
      <c r="B34" s="5" t="s">
        <v>69</v>
      </c>
      <c r="C34" s="5" t="s">
        <v>70</v>
      </c>
      <c r="D34" s="6" t="n">
        <v>1536061</v>
      </c>
      <c r="E34" s="6" t="n">
        <v>1691935</v>
      </c>
      <c r="F34" s="5" t="n">
        <v>2008</v>
      </c>
    </row>
    <row r="35" customFormat="false" ht="15" hidden="false" customHeight="false" outlineLevel="0" collapsed="false">
      <c r="A35" s="3" t="n">
        <v>104</v>
      </c>
      <c r="B35" s="3" t="s">
        <v>71</v>
      </c>
      <c r="C35" s="3" t="s">
        <v>72</v>
      </c>
      <c r="D35" s="4" t="n">
        <v>1497532</v>
      </c>
      <c r="E35" s="4" t="n">
        <v>1459667</v>
      </c>
      <c r="F35" s="3" t="n">
        <v>2008</v>
      </c>
    </row>
    <row r="36" customFormat="false" ht="15" hidden="false" customHeight="false" outlineLevel="0" collapsed="false">
      <c r="A36" s="5" t="n">
        <v>105</v>
      </c>
      <c r="B36" s="5" t="s">
        <v>73</v>
      </c>
      <c r="C36" s="5" t="s">
        <v>74</v>
      </c>
      <c r="D36" s="6" t="n">
        <v>1381864</v>
      </c>
      <c r="E36" s="6" t="n">
        <v>1264947</v>
      </c>
      <c r="F36" s="5" t="n">
        <v>2008</v>
      </c>
    </row>
    <row r="37" customFormat="false" ht="15" hidden="false" customHeight="false" outlineLevel="0" collapsed="false">
      <c r="A37" s="3" t="n">
        <v>106</v>
      </c>
      <c r="B37" s="3" t="s">
        <v>75</v>
      </c>
      <c r="C37" s="3" t="s">
        <v>76</v>
      </c>
      <c r="D37" s="4" t="n">
        <v>1275569</v>
      </c>
      <c r="E37" s="4" t="n">
        <v>1121428</v>
      </c>
      <c r="F37" s="3" t="n">
        <v>2008</v>
      </c>
    </row>
    <row r="38" customFormat="false" ht="15" hidden="false" customHeight="false" outlineLevel="0" collapsed="false">
      <c r="A38" s="5" t="n">
        <v>107</v>
      </c>
      <c r="B38" s="5" t="s">
        <v>77</v>
      </c>
      <c r="C38" s="5" t="s">
        <v>78</v>
      </c>
      <c r="D38" s="6" t="n">
        <v>1314278</v>
      </c>
      <c r="E38" s="6" t="n">
        <v>1201066</v>
      </c>
      <c r="F38" s="5" t="n">
        <v>2008</v>
      </c>
    </row>
    <row r="39" customFormat="false" ht="15" hidden="false" customHeight="false" outlineLevel="0" collapsed="false">
      <c r="A39" s="3" t="n">
        <v>108</v>
      </c>
      <c r="B39" s="3" t="s">
        <v>79</v>
      </c>
      <c r="C39" s="3" t="s">
        <v>80</v>
      </c>
      <c r="D39" s="4" t="n">
        <v>1344364</v>
      </c>
      <c r="E39" s="4" t="n">
        <v>1165237</v>
      </c>
      <c r="F39" s="3" t="n">
        <v>2009</v>
      </c>
    </row>
    <row r="40" customFormat="false" ht="15" hidden="false" customHeight="false" outlineLevel="0" collapsed="false">
      <c r="A40" s="5" t="n">
        <v>109</v>
      </c>
      <c r="B40" s="5" t="s">
        <v>81</v>
      </c>
      <c r="C40" s="5" t="s">
        <v>82</v>
      </c>
      <c r="D40" s="6" t="n">
        <v>1252793</v>
      </c>
      <c r="E40" s="6" t="n">
        <v>1179966</v>
      </c>
      <c r="F40" s="5" t="n">
        <v>2009</v>
      </c>
    </row>
    <row r="41" customFormat="false" ht="15" hidden="false" customHeight="false" outlineLevel="0" collapsed="false">
      <c r="A41" s="3" t="n">
        <v>110</v>
      </c>
      <c r="B41" s="3" t="s">
        <v>83</v>
      </c>
      <c r="C41" s="3" t="s">
        <v>84</v>
      </c>
      <c r="D41" s="4" t="n">
        <v>1226997</v>
      </c>
      <c r="E41" s="4" t="n">
        <v>1358119</v>
      </c>
      <c r="F41" s="3" t="n">
        <v>2009</v>
      </c>
    </row>
    <row r="42" customFormat="false" ht="15" hidden="false" customHeight="false" outlineLevel="0" collapsed="false">
      <c r="A42" s="5" t="n">
        <v>111</v>
      </c>
      <c r="B42" s="5" t="s">
        <v>85</v>
      </c>
      <c r="C42" s="5" t="s">
        <v>86</v>
      </c>
      <c r="D42" s="6" t="n">
        <v>1221675</v>
      </c>
      <c r="E42" s="6" t="n">
        <v>1274228</v>
      </c>
      <c r="F42" s="5" t="n">
        <v>2009</v>
      </c>
    </row>
    <row r="43" customFormat="false" ht="15" hidden="false" customHeight="false" outlineLevel="0" collapsed="false">
      <c r="A43" s="3" t="n">
        <v>112</v>
      </c>
      <c r="B43" s="3" t="s">
        <v>87</v>
      </c>
      <c r="C43" s="3" t="s">
        <v>88</v>
      </c>
      <c r="D43" s="4" t="n">
        <v>1239760</v>
      </c>
      <c r="E43" s="4" t="n">
        <v>1345654</v>
      </c>
      <c r="F43" s="3" t="n">
        <v>2009</v>
      </c>
    </row>
    <row r="44" customFormat="false" ht="15" hidden="false" customHeight="false" outlineLevel="0" collapsed="false">
      <c r="A44" s="5" t="n">
        <v>113</v>
      </c>
      <c r="B44" s="5" t="s">
        <v>89</v>
      </c>
      <c r="C44" s="5" t="s">
        <v>90</v>
      </c>
      <c r="D44" s="6" t="n">
        <v>1293867</v>
      </c>
      <c r="E44" s="6" t="n">
        <v>1377320</v>
      </c>
      <c r="F44" s="5" t="n">
        <v>2009</v>
      </c>
    </row>
    <row r="45" customFormat="false" ht="15" hidden="false" customHeight="false" outlineLevel="0" collapsed="false">
      <c r="A45" s="3" t="n">
        <v>114</v>
      </c>
      <c r="B45" s="3" t="s">
        <v>91</v>
      </c>
      <c r="C45" s="3" t="s">
        <v>92</v>
      </c>
      <c r="D45" s="4" t="n">
        <v>1348001</v>
      </c>
      <c r="E45" s="4" t="n">
        <v>1478459</v>
      </c>
      <c r="F45" s="3" t="n">
        <v>2009</v>
      </c>
    </row>
    <row r="46" customFormat="false" ht="15" hidden="false" customHeight="false" outlineLevel="0" collapsed="false">
      <c r="A46" s="5" t="n">
        <v>115</v>
      </c>
      <c r="B46" s="5" t="s">
        <v>93</v>
      </c>
      <c r="C46" s="5" t="s">
        <v>94</v>
      </c>
      <c r="D46" s="6" t="n">
        <v>1563993</v>
      </c>
      <c r="E46" s="6" t="n">
        <v>1715057</v>
      </c>
      <c r="F46" s="5" t="n">
        <v>2009</v>
      </c>
    </row>
    <row r="47" customFormat="false" ht="15" hidden="false" customHeight="false" outlineLevel="0" collapsed="false">
      <c r="A47" s="3" t="n">
        <v>116</v>
      </c>
      <c r="B47" s="3" t="s">
        <v>95</v>
      </c>
      <c r="C47" s="3" t="s">
        <v>96</v>
      </c>
      <c r="D47" s="4" t="n">
        <v>1205741</v>
      </c>
      <c r="E47" s="4" t="n">
        <v>1176732</v>
      </c>
      <c r="F47" s="3" t="n">
        <v>2009</v>
      </c>
    </row>
    <row r="48" customFormat="false" ht="15" hidden="false" customHeight="false" outlineLevel="0" collapsed="false">
      <c r="A48" s="5" t="n">
        <v>117</v>
      </c>
      <c r="B48" s="5" t="s">
        <v>97</v>
      </c>
      <c r="C48" s="5" t="s">
        <v>98</v>
      </c>
      <c r="D48" s="6" t="n">
        <v>1295417</v>
      </c>
      <c r="E48" s="6" t="n">
        <v>1194037</v>
      </c>
      <c r="F48" s="5" t="n">
        <v>2009</v>
      </c>
    </row>
    <row r="49" customFormat="false" ht="15" hidden="false" customHeight="false" outlineLevel="0" collapsed="false">
      <c r="A49" s="3" t="n">
        <v>118</v>
      </c>
      <c r="B49" s="3" t="s">
        <v>99</v>
      </c>
      <c r="C49" s="3" t="s">
        <v>100</v>
      </c>
      <c r="D49" s="4" t="n">
        <v>1289157</v>
      </c>
      <c r="E49" s="4" t="n">
        <v>1142305</v>
      </c>
      <c r="F49" s="3" t="n">
        <v>2009</v>
      </c>
    </row>
    <row r="50" customFormat="false" ht="15" hidden="false" customHeight="false" outlineLevel="0" collapsed="false">
      <c r="A50" s="5" t="n">
        <v>119</v>
      </c>
      <c r="B50" s="5" t="s">
        <v>101</v>
      </c>
      <c r="C50" s="5" t="s">
        <v>102</v>
      </c>
      <c r="D50" s="6" t="n">
        <v>1345445</v>
      </c>
      <c r="E50" s="6" t="n">
        <v>1241935</v>
      </c>
      <c r="F50" s="5" t="n">
        <v>2009</v>
      </c>
    </row>
    <row r="51" customFormat="false" ht="15" hidden="false" customHeight="false" outlineLevel="0" collapsed="false">
      <c r="A51" s="3" t="n">
        <v>120</v>
      </c>
      <c r="B51" s="3" t="s">
        <v>103</v>
      </c>
      <c r="C51" s="3" t="s">
        <v>104</v>
      </c>
      <c r="D51" s="4" t="n">
        <v>1324871</v>
      </c>
      <c r="E51" s="4" t="n">
        <v>1145046</v>
      </c>
      <c r="F51" s="3" t="n">
        <v>2010</v>
      </c>
    </row>
    <row r="52" customFormat="false" ht="15" hidden="false" customHeight="false" outlineLevel="0" collapsed="false">
      <c r="A52" s="5" t="n">
        <v>121</v>
      </c>
      <c r="B52" s="5" t="s">
        <v>105</v>
      </c>
      <c r="C52" s="5" t="s">
        <v>106</v>
      </c>
      <c r="D52" s="6" t="n">
        <v>1285473</v>
      </c>
      <c r="E52" s="6" t="n">
        <v>1214864</v>
      </c>
      <c r="F52" s="5" t="n">
        <v>2010</v>
      </c>
    </row>
    <row r="53" customFormat="false" ht="15" hidden="false" customHeight="false" outlineLevel="0" collapsed="false">
      <c r="A53" s="3" t="n">
        <v>122</v>
      </c>
      <c r="B53" s="3" t="s">
        <v>107</v>
      </c>
      <c r="C53" s="3" t="s">
        <v>108</v>
      </c>
      <c r="D53" s="4" t="n">
        <v>1487713</v>
      </c>
      <c r="E53" s="4" t="n">
        <v>1652707</v>
      </c>
      <c r="F53" s="3" t="n">
        <v>2010</v>
      </c>
    </row>
    <row r="54" customFormat="false" ht="15" hidden="false" customHeight="false" outlineLevel="0" collapsed="false">
      <c r="A54" s="5" t="n">
        <v>123</v>
      </c>
      <c r="B54" s="5" t="s">
        <v>109</v>
      </c>
      <c r="C54" s="5" t="s">
        <v>110</v>
      </c>
      <c r="D54" s="6" t="n">
        <v>1455031</v>
      </c>
      <c r="E54" s="6" t="n">
        <v>1517985</v>
      </c>
      <c r="F54" s="5" t="n">
        <v>2010</v>
      </c>
    </row>
    <row r="55" customFormat="false" ht="15" hidden="false" customHeight="false" outlineLevel="0" collapsed="false">
      <c r="A55" s="3" t="n">
        <v>124</v>
      </c>
      <c r="B55" s="3" t="s">
        <v>111</v>
      </c>
      <c r="C55" s="3" t="s">
        <v>112</v>
      </c>
      <c r="D55" s="4" t="n">
        <v>1435403</v>
      </c>
      <c r="E55" s="4" t="n">
        <v>1545186</v>
      </c>
      <c r="F55" s="3" t="n">
        <v>2010</v>
      </c>
    </row>
    <row r="56" customFormat="false" ht="15" hidden="false" customHeight="false" outlineLevel="0" collapsed="false">
      <c r="A56" s="5" t="n">
        <v>125</v>
      </c>
      <c r="B56" s="5" t="s">
        <v>113</v>
      </c>
      <c r="C56" s="5" t="s">
        <v>114</v>
      </c>
      <c r="D56" s="6" t="n">
        <v>1487858</v>
      </c>
      <c r="E56" s="6" t="n">
        <v>1567771</v>
      </c>
      <c r="F56" s="5" t="n">
        <v>2010</v>
      </c>
    </row>
    <row r="57" customFormat="false" ht="15" hidden="false" customHeight="false" outlineLevel="0" collapsed="false">
      <c r="A57" s="3" t="n">
        <v>126</v>
      </c>
      <c r="B57" s="3" t="s">
        <v>115</v>
      </c>
      <c r="C57" s="3" t="s">
        <v>116</v>
      </c>
      <c r="D57" s="4" t="n">
        <v>1522560</v>
      </c>
      <c r="E57" s="4" t="n">
        <v>1658728</v>
      </c>
      <c r="F57" s="3" t="n">
        <v>2010</v>
      </c>
    </row>
    <row r="58" customFormat="false" ht="15" hidden="false" customHeight="false" outlineLevel="0" collapsed="false">
      <c r="A58" s="5" t="n">
        <v>127</v>
      </c>
      <c r="B58" s="5" t="s">
        <v>117</v>
      </c>
      <c r="C58" s="5" t="s">
        <v>118</v>
      </c>
      <c r="D58" s="6" t="n">
        <v>1506548</v>
      </c>
      <c r="E58" s="6" t="n">
        <v>1649328</v>
      </c>
      <c r="F58" s="5" t="n">
        <v>2010</v>
      </c>
    </row>
    <row r="59" customFormat="false" ht="15" hidden="false" customHeight="false" outlineLevel="0" collapsed="false">
      <c r="A59" s="3" t="n">
        <v>128</v>
      </c>
      <c r="B59" s="3" t="s">
        <v>119</v>
      </c>
      <c r="C59" s="3" t="s">
        <v>120</v>
      </c>
      <c r="D59" s="4" t="n">
        <v>1555813</v>
      </c>
      <c r="E59" s="4" t="n">
        <v>1517957</v>
      </c>
      <c r="F59" s="3" t="n">
        <v>2010</v>
      </c>
    </row>
    <row r="60" customFormat="false" ht="15" hidden="false" customHeight="false" outlineLevel="0" collapsed="false">
      <c r="A60" s="5" t="n">
        <v>129</v>
      </c>
      <c r="B60" s="5" t="s">
        <v>121</v>
      </c>
      <c r="C60" s="5" t="s">
        <v>122</v>
      </c>
      <c r="D60" s="6" t="n">
        <v>1614526</v>
      </c>
      <c r="E60" s="6" t="n">
        <v>1500876</v>
      </c>
      <c r="F60" s="5" t="n">
        <v>2010</v>
      </c>
    </row>
    <row r="61" customFormat="false" ht="15" hidden="false" customHeight="false" outlineLevel="0" collapsed="false">
      <c r="A61" s="3" t="n">
        <v>130</v>
      </c>
      <c r="B61" s="3" t="s">
        <v>123</v>
      </c>
      <c r="C61" s="3" t="s">
        <v>124</v>
      </c>
      <c r="D61" s="4" t="n">
        <v>1616145</v>
      </c>
      <c r="E61" s="4" t="n">
        <v>1446304</v>
      </c>
      <c r="F61" s="3" t="n">
        <v>2010</v>
      </c>
    </row>
    <row r="62" customFormat="false" ht="15" hidden="false" customHeight="false" outlineLevel="0" collapsed="false">
      <c r="A62" s="5" t="n">
        <v>131</v>
      </c>
      <c r="B62" s="5" t="s">
        <v>125</v>
      </c>
      <c r="C62" s="5" t="s">
        <v>126</v>
      </c>
      <c r="D62" s="6" t="n">
        <v>1647760</v>
      </c>
      <c r="E62" s="6" t="n">
        <v>1534160</v>
      </c>
      <c r="F62" s="5" t="n">
        <v>2010</v>
      </c>
    </row>
    <row r="63" customFormat="false" ht="15" hidden="false" customHeight="false" outlineLevel="0" collapsed="false">
      <c r="A63" s="3" t="n">
        <v>132</v>
      </c>
      <c r="B63" s="3" t="s">
        <v>127</v>
      </c>
      <c r="C63" s="3" t="s">
        <v>128</v>
      </c>
      <c r="D63" s="4" t="n">
        <v>1632159</v>
      </c>
      <c r="E63" s="4" t="n">
        <v>1409573</v>
      </c>
      <c r="F63" s="3" t="n">
        <v>2011</v>
      </c>
    </row>
    <row r="64" customFormat="false" ht="15" hidden="false" customHeight="false" outlineLevel="0" collapsed="false">
      <c r="A64" s="5" t="n">
        <v>133</v>
      </c>
      <c r="B64" s="5" t="s">
        <v>129</v>
      </c>
      <c r="C64" s="5" t="s">
        <v>130</v>
      </c>
      <c r="D64" s="6" t="n">
        <v>1670689</v>
      </c>
      <c r="E64" s="6" t="n">
        <v>1578620</v>
      </c>
      <c r="F64" s="5" t="n">
        <v>2011</v>
      </c>
    </row>
    <row r="65" customFormat="false" ht="15" hidden="false" customHeight="false" outlineLevel="0" collapsed="false">
      <c r="A65" s="3" t="n">
        <v>134</v>
      </c>
      <c r="B65" s="3" t="s">
        <v>131</v>
      </c>
      <c r="C65" s="3" t="s">
        <v>132</v>
      </c>
      <c r="D65" s="4" t="n">
        <v>1686257</v>
      </c>
      <c r="E65" s="4" t="n">
        <v>1880184</v>
      </c>
      <c r="F65" s="3" t="n">
        <v>2011</v>
      </c>
    </row>
    <row r="66" customFormat="false" ht="15" hidden="false" customHeight="false" outlineLevel="0" collapsed="false">
      <c r="A66" s="5" t="n">
        <v>135</v>
      </c>
      <c r="B66" s="5" t="s">
        <v>133</v>
      </c>
      <c r="C66" s="5" t="s">
        <v>134</v>
      </c>
      <c r="D66" s="6" t="n">
        <v>1661037</v>
      </c>
      <c r="E66" s="6" t="n">
        <v>1730308</v>
      </c>
      <c r="F66" s="5" t="n">
        <v>2011</v>
      </c>
    </row>
    <row r="67" customFormat="false" ht="15" hidden="false" customHeight="false" outlineLevel="0" collapsed="false">
      <c r="A67" s="3" t="n">
        <v>136</v>
      </c>
      <c r="B67" s="3" t="s">
        <v>135</v>
      </c>
      <c r="C67" s="3" t="s">
        <v>136</v>
      </c>
      <c r="D67" s="4" t="n">
        <v>1607832</v>
      </c>
      <c r="E67" s="4" t="n">
        <v>1722780</v>
      </c>
      <c r="F67" s="3" t="n">
        <v>2011</v>
      </c>
    </row>
    <row r="68" customFormat="false" ht="15" hidden="false" customHeight="false" outlineLevel="0" collapsed="false">
      <c r="A68" s="5" t="n">
        <v>137</v>
      </c>
      <c r="B68" s="5" t="s">
        <v>137</v>
      </c>
      <c r="C68" s="5" t="s">
        <v>138</v>
      </c>
      <c r="D68" s="6" t="n">
        <v>1626638</v>
      </c>
      <c r="E68" s="6" t="n">
        <v>1694947</v>
      </c>
      <c r="F68" s="5" t="n">
        <v>2011</v>
      </c>
    </row>
    <row r="69" customFormat="false" ht="15" hidden="false" customHeight="false" outlineLevel="0" collapsed="false">
      <c r="A69" s="3" t="n">
        <v>138</v>
      </c>
      <c r="B69" s="3" t="s">
        <v>139</v>
      </c>
      <c r="C69" s="3" t="s">
        <v>140</v>
      </c>
      <c r="D69" s="4" t="n">
        <v>1606822</v>
      </c>
      <c r="E69" s="4" t="n">
        <v>1738259</v>
      </c>
      <c r="F69" s="3" t="n">
        <v>2011</v>
      </c>
    </row>
    <row r="70" customFormat="false" ht="15" hidden="false" customHeight="false" outlineLevel="0" collapsed="false">
      <c r="A70" s="5" t="n">
        <v>139</v>
      </c>
      <c r="B70" s="5" t="s">
        <v>141</v>
      </c>
      <c r="C70" s="5" t="s">
        <v>142</v>
      </c>
      <c r="D70" s="6" t="n">
        <v>1673818</v>
      </c>
      <c r="E70" s="6" t="n">
        <v>1831560</v>
      </c>
      <c r="F70" s="5" t="n">
        <v>2011</v>
      </c>
    </row>
    <row r="71" customFormat="false" ht="15" hidden="false" customHeight="false" outlineLevel="0" collapsed="false">
      <c r="A71" s="3" t="n">
        <v>140</v>
      </c>
      <c r="B71" s="3" t="s">
        <v>143</v>
      </c>
      <c r="C71" s="3" t="s">
        <v>144</v>
      </c>
      <c r="D71" s="4" t="n">
        <v>1743529</v>
      </c>
      <c r="E71" s="4" t="n">
        <v>1699488</v>
      </c>
      <c r="F71" s="3" t="n">
        <v>2011</v>
      </c>
    </row>
    <row r="72" customFormat="false" ht="15" hidden="false" customHeight="false" outlineLevel="0" collapsed="false">
      <c r="A72" s="5" t="n">
        <v>141</v>
      </c>
      <c r="B72" s="5" t="s">
        <v>145</v>
      </c>
      <c r="C72" s="5" t="s">
        <v>146</v>
      </c>
      <c r="D72" s="6" t="n">
        <v>1783598</v>
      </c>
      <c r="E72" s="6" t="n">
        <v>1674697</v>
      </c>
      <c r="F72" s="5" t="n">
        <v>2011</v>
      </c>
    </row>
    <row r="73" customFormat="false" ht="15" hidden="false" customHeight="false" outlineLevel="0" collapsed="false">
      <c r="A73" s="3" t="n">
        <v>142</v>
      </c>
      <c r="B73" s="3" t="s">
        <v>147</v>
      </c>
      <c r="C73" s="3" t="s">
        <v>148</v>
      </c>
      <c r="D73" s="4" t="n">
        <v>1808416</v>
      </c>
      <c r="E73" s="4" t="n">
        <v>1634144</v>
      </c>
      <c r="F73" s="3" t="n">
        <v>2011</v>
      </c>
    </row>
    <row r="74" customFormat="false" ht="15" hidden="false" customHeight="false" outlineLevel="0" collapsed="false">
      <c r="A74" s="5" t="n">
        <v>143</v>
      </c>
      <c r="B74" s="5" t="s">
        <v>149</v>
      </c>
      <c r="C74" s="5" t="s">
        <v>150</v>
      </c>
      <c r="D74" s="6" t="n">
        <v>1849191</v>
      </c>
      <c r="E74" s="6" t="n">
        <v>1730175</v>
      </c>
      <c r="F74" s="5" t="n">
        <v>2011</v>
      </c>
    </row>
    <row r="75" customFormat="false" ht="15" hidden="false" customHeight="false" outlineLevel="0" collapsed="false">
      <c r="A75" s="3" t="n">
        <v>144</v>
      </c>
      <c r="B75" s="3" t="s">
        <v>151</v>
      </c>
      <c r="C75" s="3" t="s">
        <v>152</v>
      </c>
      <c r="D75" s="4" t="n">
        <v>1802930</v>
      </c>
      <c r="E75" s="4" t="n">
        <v>1562289</v>
      </c>
      <c r="F75" s="3" t="n">
        <v>2012</v>
      </c>
    </row>
    <row r="76" customFormat="false" ht="15" hidden="false" customHeight="false" outlineLevel="0" collapsed="false">
      <c r="A76" s="5" t="n">
        <v>145</v>
      </c>
      <c r="B76" s="5" t="s">
        <v>153</v>
      </c>
      <c r="C76" s="5" t="s">
        <v>154</v>
      </c>
      <c r="D76" s="6" t="n">
        <v>1939650</v>
      </c>
      <c r="E76" s="6" t="n">
        <v>1826411</v>
      </c>
      <c r="F76" s="5" t="n">
        <v>2012</v>
      </c>
    </row>
    <row r="77" customFormat="false" ht="15" hidden="false" customHeight="false" outlineLevel="0" collapsed="false">
      <c r="A77" s="3" t="n">
        <v>146</v>
      </c>
      <c r="B77" s="3" t="s">
        <v>155</v>
      </c>
      <c r="C77" s="3" t="s">
        <v>156</v>
      </c>
      <c r="D77" s="4" t="n">
        <v>1863648</v>
      </c>
      <c r="E77" s="4" t="n">
        <v>2082901</v>
      </c>
      <c r="F77" s="3" t="n">
        <v>2012</v>
      </c>
    </row>
    <row r="78" customFormat="false" ht="15" hidden="false" customHeight="false" outlineLevel="0" collapsed="false">
      <c r="A78" s="5" t="n">
        <v>147</v>
      </c>
      <c r="B78" s="5" t="s">
        <v>157</v>
      </c>
      <c r="C78" s="5" t="s">
        <v>158</v>
      </c>
      <c r="D78" s="6" t="n">
        <v>1842362</v>
      </c>
      <c r="E78" s="6" t="n">
        <v>1910536</v>
      </c>
      <c r="F78" s="5" t="n">
        <v>2012</v>
      </c>
    </row>
    <row r="79" customFormat="false" ht="15" hidden="false" customHeight="false" outlineLevel="0" collapsed="false">
      <c r="A79" s="3" t="n">
        <v>148</v>
      </c>
      <c r="B79" s="3" t="s">
        <v>159</v>
      </c>
      <c r="C79" s="3" t="s">
        <v>160</v>
      </c>
      <c r="D79" s="4" t="n">
        <v>1890563</v>
      </c>
      <c r="E79" s="4" t="n">
        <v>2021998</v>
      </c>
      <c r="F79" s="3" t="n">
        <v>2012</v>
      </c>
    </row>
    <row r="80" customFormat="false" ht="15" hidden="false" customHeight="false" outlineLevel="0" collapsed="false">
      <c r="A80" s="5" t="n">
        <v>149</v>
      </c>
      <c r="B80" s="5" t="s">
        <v>161</v>
      </c>
      <c r="C80" s="5" t="s">
        <v>162</v>
      </c>
      <c r="D80" s="6" t="n">
        <v>1885969</v>
      </c>
      <c r="E80" s="6" t="n">
        <v>1946366</v>
      </c>
      <c r="F80" s="5" t="n">
        <v>2012</v>
      </c>
    </row>
    <row r="81" customFormat="false" ht="15" hidden="false" customHeight="false" outlineLevel="0" collapsed="false">
      <c r="A81" s="3" t="n">
        <v>150</v>
      </c>
      <c r="B81" s="3" t="s">
        <v>163</v>
      </c>
      <c r="C81" s="3" t="s">
        <v>164</v>
      </c>
      <c r="D81" s="4" t="n">
        <v>1864797</v>
      </c>
      <c r="E81" s="4" t="n">
        <v>2005968</v>
      </c>
      <c r="F81" s="3" t="n">
        <v>2012</v>
      </c>
    </row>
    <row r="82" customFormat="false" ht="15" hidden="false" customHeight="false" outlineLevel="0" collapsed="false">
      <c r="A82" s="5" t="n">
        <v>151</v>
      </c>
      <c r="B82" s="5" t="s">
        <v>165</v>
      </c>
      <c r="C82" s="5" t="s">
        <v>166</v>
      </c>
      <c r="D82" s="6" t="n">
        <v>1921362</v>
      </c>
      <c r="E82" s="6" t="n">
        <v>2105291</v>
      </c>
      <c r="F82" s="5" t="n">
        <v>2012</v>
      </c>
    </row>
    <row r="83" customFormat="false" ht="15" hidden="false" customHeight="false" outlineLevel="0" collapsed="false">
      <c r="A83" s="3" t="n">
        <v>152</v>
      </c>
      <c r="B83" s="3" t="s">
        <v>167</v>
      </c>
      <c r="C83" s="3" t="s">
        <v>168</v>
      </c>
      <c r="D83" s="4" t="n">
        <v>1892614</v>
      </c>
      <c r="E83" s="4" t="n">
        <v>1846418</v>
      </c>
      <c r="F83" s="3" t="n">
        <v>2012</v>
      </c>
    </row>
    <row r="84" customFormat="false" ht="15" hidden="false" customHeight="false" outlineLevel="0" collapsed="false">
      <c r="A84" s="5" t="n">
        <v>153</v>
      </c>
      <c r="B84" s="5" t="s">
        <v>169</v>
      </c>
      <c r="C84" s="5" t="s">
        <v>170</v>
      </c>
      <c r="D84" s="6" t="n">
        <v>1936269</v>
      </c>
      <c r="E84" s="6" t="n">
        <v>1835290</v>
      </c>
      <c r="F84" s="5" t="n">
        <v>2012</v>
      </c>
    </row>
    <row r="85" customFormat="false" ht="15" hidden="false" customHeight="false" outlineLevel="0" collapsed="false">
      <c r="A85" s="3" t="n">
        <v>154</v>
      </c>
      <c r="B85" s="3" t="s">
        <v>171</v>
      </c>
      <c r="C85" s="3" t="s">
        <v>172</v>
      </c>
      <c r="D85" s="4" t="n">
        <v>1984173</v>
      </c>
      <c r="E85" s="4" t="n">
        <v>1805772</v>
      </c>
      <c r="F85" s="3" t="n">
        <v>2012</v>
      </c>
    </row>
    <row r="86" customFormat="false" ht="15" hidden="false" customHeight="false" outlineLevel="0" collapsed="false">
      <c r="A86" s="5" t="n">
        <v>155</v>
      </c>
      <c r="B86" s="5" t="s">
        <v>173</v>
      </c>
      <c r="C86" s="5" t="s">
        <v>174</v>
      </c>
      <c r="D86" s="6" t="n">
        <v>1953681</v>
      </c>
      <c r="E86" s="6" t="n">
        <v>1831942</v>
      </c>
      <c r="F86" s="5" t="n">
        <v>2012</v>
      </c>
    </row>
    <row r="87" customFormat="false" ht="15" hidden="false" customHeight="false" outlineLevel="0" collapsed="false">
      <c r="A87" s="3" t="n">
        <v>156</v>
      </c>
      <c r="B87" s="3" t="s">
        <v>175</v>
      </c>
      <c r="C87" s="3" t="s">
        <v>176</v>
      </c>
      <c r="D87" s="4" t="n">
        <v>2025885</v>
      </c>
      <c r="E87" s="4" t="n">
        <v>1760979</v>
      </c>
      <c r="F87" s="3" t="n">
        <v>2013</v>
      </c>
    </row>
    <row r="88" customFormat="false" ht="15" hidden="false" customHeight="false" outlineLevel="0" collapsed="false">
      <c r="A88" s="5" t="n">
        <v>157</v>
      </c>
      <c r="B88" s="5" t="s">
        <v>177</v>
      </c>
      <c r="C88" s="5" t="s">
        <v>178</v>
      </c>
      <c r="D88" s="6" t="n">
        <v>2015306</v>
      </c>
      <c r="E88" s="6" t="n">
        <v>1888825</v>
      </c>
      <c r="F88" s="5" t="n">
        <v>2013</v>
      </c>
    </row>
    <row r="89" customFormat="false" ht="15" hidden="false" customHeight="false" outlineLevel="0" collapsed="false">
      <c r="A89" s="3" t="n">
        <v>158</v>
      </c>
      <c r="B89" s="3" t="s">
        <v>179</v>
      </c>
      <c r="C89" s="3" t="s">
        <v>180</v>
      </c>
      <c r="D89" s="4" t="n">
        <v>1976799</v>
      </c>
      <c r="E89" s="4" t="n">
        <v>2207084</v>
      </c>
      <c r="F89" s="3" t="n">
        <v>2013</v>
      </c>
    </row>
    <row r="90" customFormat="false" ht="15" hidden="false" customHeight="false" outlineLevel="0" collapsed="false">
      <c r="A90" s="5" t="n">
        <v>159</v>
      </c>
      <c r="B90" s="5" t="s">
        <v>181</v>
      </c>
      <c r="C90" s="5" t="s">
        <v>182</v>
      </c>
      <c r="D90" s="6" t="n">
        <v>2069542</v>
      </c>
      <c r="E90" s="6" t="n">
        <v>2135961</v>
      </c>
      <c r="F90" s="5" t="n">
        <v>2013</v>
      </c>
    </row>
    <row r="91" customFormat="false" ht="15" hidden="false" customHeight="false" outlineLevel="0" collapsed="false">
      <c r="A91" s="3" t="n">
        <v>160</v>
      </c>
      <c r="B91" s="3" t="s">
        <v>183</v>
      </c>
      <c r="C91" s="3" t="s">
        <v>184</v>
      </c>
      <c r="D91" s="4" t="n">
        <v>2099070</v>
      </c>
      <c r="E91" s="4" t="n">
        <v>2248424</v>
      </c>
      <c r="F91" s="3" t="n">
        <v>2013</v>
      </c>
    </row>
    <row r="92" customFormat="false" ht="15" hidden="false" customHeight="false" outlineLevel="0" collapsed="false">
      <c r="A92" s="5" t="n">
        <v>161</v>
      </c>
      <c r="B92" s="5" t="s">
        <v>185</v>
      </c>
      <c r="C92" s="5" t="s">
        <v>186</v>
      </c>
      <c r="D92" s="6" t="n">
        <v>2071096</v>
      </c>
      <c r="E92" s="6" t="n">
        <v>2125745</v>
      </c>
      <c r="F92" s="5" t="n">
        <v>2013</v>
      </c>
    </row>
    <row r="93" customFormat="false" ht="15" hidden="false" customHeight="false" outlineLevel="0" collapsed="false">
      <c r="A93" s="3" t="n">
        <v>162</v>
      </c>
      <c r="B93" s="3" t="s">
        <v>187</v>
      </c>
      <c r="C93" s="3" t="s">
        <v>188</v>
      </c>
      <c r="D93" s="4" t="n">
        <v>2134022</v>
      </c>
      <c r="E93" s="4" t="n">
        <v>2284259</v>
      </c>
      <c r="F93" s="3" t="n">
        <v>2013</v>
      </c>
    </row>
    <row r="94" customFormat="false" ht="15" hidden="false" customHeight="false" outlineLevel="0" collapsed="false">
      <c r="A94" s="5" t="n">
        <v>163</v>
      </c>
      <c r="B94" s="5" t="s">
        <v>189</v>
      </c>
      <c r="C94" s="5" t="s">
        <v>190</v>
      </c>
      <c r="D94" s="6" t="n">
        <v>2125109</v>
      </c>
      <c r="E94" s="6" t="n">
        <v>2333268</v>
      </c>
      <c r="F94" s="5" t="n">
        <v>2013</v>
      </c>
    </row>
    <row r="95" customFormat="false" ht="15" hidden="false" customHeight="false" outlineLevel="0" collapsed="false">
      <c r="A95" s="3" t="n">
        <v>164</v>
      </c>
      <c r="B95" s="3" t="s">
        <v>191</v>
      </c>
      <c r="C95" s="3" t="s">
        <v>192</v>
      </c>
      <c r="D95" s="4" t="n">
        <v>2049771</v>
      </c>
      <c r="E95" s="4" t="n">
        <v>2006474</v>
      </c>
      <c r="F95" s="3" t="n">
        <v>2013</v>
      </c>
    </row>
    <row r="96" customFormat="false" ht="15" hidden="false" customHeight="false" outlineLevel="0" collapsed="false">
      <c r="A96" s="5" t="n">
        <v>165</v>
      </c>
      <c r="B96" s="5" t="s">
        <v>193</v>
      </c>
      <c r="C96" s="5" t="s">
        <v>194</v>
      </c>
      <c r="D96" s="6" t="n">
        <v>2086137</v>
      </c>
      <c r="E96" s="6" t="n">
        <v>1987478</v>
      </c>
      <c r="F96" s="5" t="n">
        <v>2013</v>
      </c>
    </row>
    <row r="97" customFormat="false" ht="15" hidden="false" customHeight="false" outlineLevel="0" collapsed="false">
      <c r="A97" s="3" t="n">
        <v>166</v>
      </c>
      <c r="B97" s="3" t="s">
        <v>195</v>
      </c>
      <c r="C97" s="3" t="s">
        <v>196</v>
      </c>
      <c r="D97" s="4" t="n">
        <v>2127737</v>
      </c>
      <c r="E97" s="4" t="n">
        <v>1945214</v>
      </c>
      <c r="F97" s="3" t="n">
        <v>2013</v>
      </c>
    </row>
    <row r="98" customFormat="false" ht="15" hidden="false" customHeight="false" outlineLevel="0" collapsed="false">
      <c r="A98" s="5" t="n">
        <v>167</v>
      </c>
      <c r="B98" s="5" t="s">
        <v>197</v>
      </c>
      <c r="C98" s="5" t="s">
        <v>198</v>
      </c>
      <c r="D98" s="6" t="n">
        <v>2079043</v>
      </c>
      <c r="E98" s="6" t="n">
        <v>1951045</v>
      </c>
      <c r="F98" s="5" t="n">
        <v>2013</v>
      </c>
    </row>
    <row r="99" customFormat="false" ht="15" hidden="false" customHeight="false" outlineLevel="0" collapsed="false">
      <c r="A99" s="3" t="n">
        <v>168</v>
      </c>
      <c r="B99" s="3" t="s">
        <v>199</v>
      </c>
      <c r="C99" s="3" t="s">
        <v>200</v>
      </c>
      <c r="D99" s="4" t="n">
        <v>2118722</v>
      </c>
      <c r="E99" s="4" t="n">
        <v>1852593</v>
      </c>
      <c r="F99" s="3" t="n">
        <v>2014</v>
      </c>
    </row>
    <row r="100" customFormat="false" ht="15" hidden="false" customHeight="false" outlineLevel="0" collapsed="false">
      <c r="A100" s="5" t="n">
        <v>169</v>
      </c>
      <c r="B100" s="5" t="s">
        <v>201</v>
      </c>
      <c r="C100" s="5" t="s">
        <v>202</v>
      </c>
      <c r="D100" s="6" t="n">
        <v>2132933</v>
      </c>
      <c r="E100" s="6" t="n">
        <v>1987716</v>
      </c>
      <c r="F100" s="5" t="n">
        <v>2014</v>
      </c>
    </row>
    <row r="101" customFormat="false" ht="15" hidden="false" customHeight="false" outlineLevel="0" collapsed="false">
      <c r="A101" s="3" t="n">
        <v>170</v>
      </c>
      <c r="B101" s="3" t="s">
        <v>203</v>
      </c>
      <c r="C101" s="3" t="s">
        <v>204</v>
      </c>
      <c r="D101" s="4" t="n">
        <v>2156671</v>
      </c>
      <c r="E101" s="4" t="n">
        <v>2401306</v>
      </c>
      <c r="F101" s="3" t="n">
        <v>2014</v>
      </c>
    </row>
    <row r="102" customFormat="false" ht="15" hidden="false" customHeight="false" outlineLevel="0" collapsed="false">
      <c r="A102" s="5" t="n">
        <v>171</v>
      </c>
      <c r="B102" s="5" t="s">
        <v>205</v>
      </c>
      <c r="C102" s="5" t="s">
        <v>206</v>
      </c>
      <c r="D102" s="6" t="n">
        <v>2168344</v>
      </c>
      <c r="E102" s="6" t="n">
        <v>2221910</v>
      </c>
      <c r="F102" s="5" t="n">
        <v>2014</v>
      </c>
    </row>
    <row r="103" customFormat="false" ht="15" hidden="false" customHeight="false" outlineLevel="0" collapsed="false">
      <c r="A103" s="3" t="n">
        <v>172</v>
      </c>
      <c r="B103" s="3" t="s">
        <v>207</v>
      </c>
      <c r="C103" s="3" t="s">
        <v>208</v>
      </c>
      <c r="D103" s="4" t="n">
        <v>2205911</v>
      </c>
      <c r="E103" s="4" t="n">
        <v>2365841</v>
      </c>
      <c r="F103" s="3" t="n">
        <v>2014</v>
      </c>
    </row>
    <row r="104" customFormat="false" ht="15" hidden="false" customHeight="false" outlineLevel="0" collapsed="false">
      <c r="A104" s="5" t="n">
        <v>173</v>
      </c>
      <c r="B104" s="5" t="s">
        <v>209</v>
      </c>
      <c r="C104" s="5" t="s">
        <v>210</v>
      </c>
      <c r="D104" s="6" t="n">
        <v>2152065</v>
      </c>
      <c r="E104" s="6" t="n">
        <v>2206622</v>
      </c>
      <c r="F104" s="5" t="n">
        <v>2014</v>
      </c>
    </row>
    <row r="105" customFormat="false" ht="15" hidden="false" customHeight="false" outlineLevel="0" collapsed="false">
      <c r="A105" s="3" t="n">
        <v>174</v>
      </c>
      <c r="B105" s="3" t="s">
        <v>211</v>
      </c>
      <c r="C105" s="3" t="s">
        <v>212</v>
      </c>
      <c r="D105" s="4" t="n">
        <v>2200933</v>
      </c>
      <c r="E105" s="4" t="n">
        <v>2353641</v>
      </c>
      <c r="F105" s="3" t="n">
        <v>2014</v>
      </c>
    </row>
    <row r="106" customFormat="false" ht="15" hidden="false" customHeight="false" outlineLevel="0" collapsed="false">
      <c r="A106" s="5" t="n">
        <v>175</v>
      </c>
      <c r="B106" s="5" t="s">
        <v>213</v>
      </c>
      <c r="C106" s="5" t="s">
        <v>214</v>
      </c>
      <c r="D106" s="6" t="n">
        <v>2205887</v>
      </c>
      <c r="E106" s="6" t="n">
        <v>2422807</v>
      </c>
      <c r="F106" s="5" t="n">
        <v>2014</v>
      </c>
    </row>
    <row r="107" customFormat="false" ht="15" hidden="false" customHeight="false" outlineLevel="0" collapsed="false">
      <c r="A107" s="3" t="n">
        <v>176</v>
      </c>
      <c r="B107" s="3" t="s">
        <v>215</v>
      </c>
      <c r="C107" s="3" t="s">
        <v>216</v>
      </c>
      <c r="D107" s="4" t="n">
        <v>2241795</v>
      </c>
      <c r="E107" s="4" t="n">
        <v>2203883</v>
      </c>
      <c r="F107" s="3" t="n">
        <v>2014</v>
      </c>
    </row>
    <row r="108" customFormat="false" ht="15" hidden="false" customHeight="false" outlineLevel="0" collapsed="false">
      <c r="A108" s="5" t="n">
        <v>177</v>
      </c>
      <c r="B108" s="5" t="s">
        <v>217</v>
      </c>
      <c r="C108" s="5" t="s">
        <v>218</v>
      </c>
      <c r="D108" s="6" t="n">
        <v>2234018</v>
      </c>
      <c r="E108" s="6" t="n">
        <v>2133258</v>
      </c>
      <c r="F108" s="5" t="n">
        <v>2014</v>
      </c>
    </row>
    <row r="109" customFormat="false" ht="15" hidden="false" customHeight="false" outlineLevel="0" collapsed="false">
      <c r="A109" s="3" t="n">
        <v>178</v>
      </c>
      <c r="B109" s="3" t="s">
        <v>219</v>
      </c>
      <c r="C109" s="3" t="s">
        <v>220</v>
      </c>
      <c r="D109" s="4" t="n">
        <v>2176951</v>
      </c>
      <c r="E109" s="4" t="n">
        <v>1996525</v>
      </c>
      <c r="F109" s="3" t="n">
        <v>2014</v>
      </c>
    </row>
    <row r="110" customFormat="false" ht="15" hidden="false" customHeight="false" outlineLevel="0" collapsed="false">
      <c r="A110" s="5" t="n">
        <v>179</v>
      </c>
      <c r="B110" s="5" t="s">
        <v>221</v>
      </c>
      <c r="C110" s="5" t="s">
        <v>222</v>
      </c>
      <c r="D110" s="6" t="n">
        <v>2253611</v>
      </c>
      <c r="E110" s="6" t="n">
        <v>2118137</v>
      </c>
      <c r="F110" s="5" t="n">
        <v>2014</v>
      </c>
    </row>
    <row r="111" customFormat="false" ht="15" hidden="false" customHeight="false" outlineLevel="0" collapsed="false">
      <c r="A111" s="3" t="n">
        <v>180</v>
      </c>
      <c r="B111" s="3" t="s">
        <v>223</v>
      </c>
      <c r="C111" s="3" t="s">
        <v>224</v>
      </c>
      <c r="D111" s="4" t="n">
        <v>2272787</v>
      </c>
      <c r="E111" s="4" t="n">
        <v>1995059</v>
      </c>
      <c r="F111" s="3" t="n">
        <v>2015</v>
      </c>
    </row>
    <row r="112" customFormat="false" ht="15" hidden="false" customHeight="false" outlineLevel="0" collapsed="false">
      <c r="A112" s="5" t="n">
        <v>181</v>
      </c>
      <c r="B112" s="5" t="s">
        <v>225</v>
      </c>
      <c r="C112" s="5" t="s">
        <v>226</v>
      </c>
      <c r="D112" s="6" t="n">
        <v>2230213</v>
      </c>
      <c r="E112" s="6" t="n">
        <v>2069097</v>
      </c>
      <c r="F112" s="5" t="n">
        <v>2015</v>
      </c>
    </row>
    <row r="113" customFormat="false" ht="15" hidden="false" customHeight="false" outlineLevel="0" collapsed="false">
      <c r="A113" s="3" t="n">
        <v>182</v>
      </c>
      <c r="B113" s="3" t="s">
        <v>227</v>
      </c>
      <c r="C113" s="3" t="s">
        <v>228</v>
      </c>
      <c r="D113" s="4" t="n">
        <v>2264819</v>
      </c>
      <c r="E113" s="4" t="n">
        <v>2517785</v>
      </c>
      <c r="F113" s="3" t="n">
        <v>2015</v>
      </c>
    </row>
    <row r="114" customFormat="false" ht="15" hidden="false" customHeight="false" outlineLevel="0" collapsed="false">
      <c r="A114" s="5" t="n">
        <v>183</v>
      </c>
      <c r="B114" s="5" t="s">
        <v>229</v>
      </c>
      <c r="C114" s="5" t="s">
        <v>230</v>
      </c>
      <c r="D114" s="6" t="n">
        <v>2288929</v>
      </c>
      <c r="E114" s="6" t="n">
        <v>2328497</v>
      </c>
      <c r="F114" s="5" t="n">
        <v>2015</v>
      </c>
    </row>
    <row r="115" customFormat="false" ht="15" hidden="false" customHeight="false" outlineLevel="0" collapsed="false">
      <c r="A115" s="3" t="n">
        <v>184</v>
      </c>
      <c r="B115" s="3" t="s">
        <v>231</v>
      </c>
      <c r="C115" s="3" t="s">
        <v>232</v>
      </c>
      <c r="D115" s="4" t="n">
        <v>2276832</v>
      </c>
      <c r="E115" s="4" t="n">
        <v>2445860</v>
      </c>
      <c r="F115" s="3" t="n">
        <v>2015</v>
      </c>
    </row>
    <row r="116" customFormat="false" ht="15" hidden="false" customHeight="false" outlineLevel="0" collapsed="false">
      <c r="A116" s="5" t="n">
        <v>185</v>
      </c>
      <c r="B116" s="5" t="s">
        <v>233</v>
      </c>
      <c r="C116" s="5" t="s">
        <v>234</v>
      </c>
      <c r="D116" s="6" t="n">
        <v>2374181</v>
      </c>
      <c r="E116" s="6" t="n">
        <v>2436258</v>
      </c>
      <c r="F116" s="5" t="n">
        <v>2015</v>
      </c>
    </row>
    <row r="117" customFormat="false" ht="15" hidden="false" customHeight="false" outlineLevel="0" collapsed="false">
      <c r="A117" s="3" t="n">
        <v>186</v>
      </c>
      <c r="B117" s="3" t="s">
        <v>235</v>
      </c>
      <c r="C117" s="3" t="s">
        <v>236</v>
      </c>
      <c r="D117" s="4" t="n">
        <v>2383896</v>
      </c>
      <c r="E117" s="4" t="n">
        <v>2543460</v>
      </c>
      <c r="F117" s="3" t="n">
        <v>2015</v>
      </c>
    </row>
    <row r="118" customFormat="false" ht="15" hidden="false" customHeight="false" outlineLevel="0" collapsed="false">
      <c r="A118" s="5" t="n">
        <v>187</v>
      </c>
      <c r="B118" s="5" t="s">
        <v>237</v>
      </c>
      <c r="C118" s="5" t="s">
        <v>238</v>
      </c>
      <c r="D118" s="6" t="n">
        <v>2351793</v>
      </c>
      <c r="E118" s="6" t="n">
        <v>2577876</v>
      </c>
      <c r="F118" s="5" t="n">
        <v>2015</v>
      </c>
    </row>
    <row r="119" customFormat="false" ht="15" hidden="false" customHeight="false" outlineLevel="0" collapsed="false">
      <c r="A119" s="3" t="n">
        <v>188</v>
      </c>
      <c r="B119" s="3" t="s">
        <v>239</v>
      </c>
      <c r="C119" s="3" t="s">
        <v>240</v>
      </c>
      <c r="D119" s="4" t="n">
        <v>2384073</v>
      </c>
      <c r="E119" s="4" t="n">
        <v>2349205</v>
      </c>
      <c r="F119" s="3" t="n">
        <v>2015</v>
      </c>
    </row>
    <row r="120" customFormat="false" ht="15" hidden="false" customHeight="false" outlineLevel="0" collapsed="false">
      <c r="A120" s="5" t="n">
        <v>189</v>
      </c>
      <c r="B120" s="5" t="s">
        <v>241</v>
      </c>
      <c r="C120" s="5" t="s">
        <v>242</v>
      </c>
      <c r="D120" s="6" t="n">
        <v>2371188</v>
      </c>
      <c r="E120" s="6" t="n">
        <v>2271258</v>
      </c>
      <c r="F120" s="5" t="n">
        <v>2015</v>
      </c>
    </row>
    <row r="121" customFormat="false" ht="15" hidden="false" customHeight="false" outlineLevel="0" collapsed="false">
      <c r="A121" s="3" t="n">
        <v>190</v>
      </c>
      <c r="B121" s="3" t="s">
        <v>243</v>
      </c>
      <c r="C121" s="3" t="s">
        <v>244</v>
      </c>
      <c r="D121" s="4" t="n">
        <v>2303143</v>
      </c>
      <c r="E121" s="4" t="n">
        <v>2120407</v>
      </c>
      <c r="F121" s="3" t="n">
        <v>2015</v>
      </c>
    </row>
    <row r="122" customFormat="false" ht="15" hidden="false" customHeight="false" outlineLevel="0" collapsed="false">
      <c r="A122" s="5" t="n">
        <v>191</v>
      </c>
      <c r="B122" s="5" t="s">
        <v>245</v>
      </c>
      <c r="C122" s="5" t="s">
        <v>246</v>
      </c>
      <c r="D122" s="6" t="n">
        <v>2331039</v>
      </c>
      <c r="E122" s="6" t="n">
        <v>2200161</v>
      </c>
      <c r="F122" s="5" t="n">
        <v>2015</v>
      </c>
    </row>
    <row r="123" customFormat="false" ht="15" hidden="false" customHeight="false" outlineLevel="0" collapsed="false">
      <c r="A123" s="3" t="n">
        <v>192</v>
      </c>
      <c r="B123" s="3" t="s">
        <v>247</v>
      </c>
      <c r="C123" s="3" t="s">
        <v>248</v>
      </c>
      <c r="D123" s="4" t="n">
        <v>2307040</v>
      </c>
      <c r="E123" s="4" t="n">
        <v>2031784</v>
      </c>
      <c r="F123" s="3" t="n">
        <v>2016</v>
      </c>
    </row>
    <row r="124" customFormat="false" ht="15" hidden="false" customHeight="false" outlineLevel="0" collapsed="false">
      <c r="A124" s="5" t="n">
        <v>193</v>
      </c>
      <c r="B124" s="5" t="s">
        <v>249</v>
      </c>
      <c r="C124" s="5" t="s">
        <v>250</v>
      </c>
      <c r="D124" s="6" t="n">
        <v>2541345</v>
      </c>
      <c r="E124" s="6" t="n">
        <v>2347514</v>
      </c>
      <c r="F124" s="5" t="n">
        <v>2016</v>
      </c>
    </row>
    <row r="125" customFormat="false" ht="15" hidden="false" customHeight="false" outlineLevel="0" collapsed="false">
      <c r="A125" s="3" t="n">
        <v>194</v>
      </c>
      <c r="B125" s="3" t="s">
        <v>251</v>
      </c>
      <c r="C125" s="3" t="s">
        <v>252</v>
      </c>
      <c r="D125" s="4" t="n">
        <v>2290553</v>
      </c>
      <c r="E125" s="4" t="n">
        <v>2547354</v>
      </c>
      <c r="F125" s="3" t="n">
        <v>2016</v>
      </c>
    </row>
    <row r="126" customFormat="false" ht="15" hidden="false" customHeight="false" outlineLevel="0" collapsed="false">
      <c r="A126" s="5" t="n">
        <v>195</v>
      </c>
      <c r="B126" s="5" t="s">
        <v>253</v>
      </c>
      <c r="C126" s="5" t="s">
        <v>254</v>
      </c>
      <c r="D126" s="6" t="n">
        <v>2367529</v>
      </c>
      <c r="E126" s="6" t="n">
        <v>2394339</v>
      </c>
      <c r="F126" s="5" t="n">
        <v>2016</v>
      </c>
    </row>
    <row r="127" customFormat="false" ht="15" hidden="false" customHeight="false" outlineLevel="0" collapsed="false">
      <c r="A127" s="3" t="n">
        <v>196</v>
      </c>
      <c r="B127" s="3" t="s">
        <v>255</v>
      </c>
      <c r="C127" s="3" t="s">
        <v>256</v>
      </c>
      <c r="D127" s="4" t="n">
        <v>2292777</v>
      </c>
      <c r="E127" s="4" t="n">
        <v>2463310</v>
      </c>
      <c r="F127" s="3" t="n">
        <v>2016</v>
      </c>
    </row>
    <row r="128" customFormat="false" ht="15" hidden="false" customHeight="false" outlineLevel="0" collapsed="false">
      <c r="A128" s="5" t="n">
        <v>197</v>
      </c>
      <c r="B128" s="5" t="s">
        <v>257</v>
      </c>
      <c r="C128" s="5" t="s">
        <v>258</v>
      </c>
      <c r="D128" s="6" t="n">
        <v>2343578</v>
      </c>
      <c r="E128" s="6" t="n">
        <v>2404572</v>
      </c>
      <c r="F128" s="5" t="n">
        <v>2016</v>
      </c>
    </row>
    <row r="129" customFormat="false" ht="15" hidden="false" customHeight="false" outlineLevel="0" collapsed="false">
      <c r="A129" s="3" t="n">
        <v>198</v>
      </c>
      <c r="B129" s="3" t="s">
        <v>259</v>
      </c>
      <c r="C129" s="3" t="s">
        <v>260</v>
      </c>
      <c r="D129" s="4" t="n">
        <v>2320581</v>
      </c>
      <c r="E129" s="4" t="n">
        <v>2468369</v>
      </c>
      <c r="F129" s="3" t="n">
        <v>2016</v>
      </c>
    </row>
    <row r="130" customFormat="false" ht="15" hidden="false" customHeight="false" outlineLevel="0" collapsed="false">
      <c r="A130" s="5" t="n">
        <v>199</v>
      </c>
      <c r="B130" s="5" t="s">
        <v>261</v>
      </c>
      <c r="C130" s="5" t="s">
        <v>262</v>
      </c>
      <c r="D130" s="6" t="n">
        <v>2389640</v>
      </c>
      <c r="E130" s="6" t="n">
        <v>2608770</v>
      </c>
      <c r="F130" s="5" t="n">
        <v>2016</v>
      </c>
    </row>
    <row r="131" customFormat="false" ht="15" hidden="false" customHeight="false" outlineLevel="0" collapsed="false">
      <c r="A131" s="3" t="n">
        <v>200</v>
      </c>
      <c r="B131" s="3" t="s">
        <v>263</v>
      </c>
      <c r="C131" s="3" t="s">
        <v>264</v>
      </c>
      <c r="D131" s="4" t="n">
        <v>2387642</v>
      </c>
      <c r="E131" s="4" t="n">
        <v>2350653</v>
      </c>
      <c r="F131" s="3" t="n">
        <v>2016</v>
      </c>
    </row>
    <row r="132" customFormat="false" ht="15" hidden="false" customHeight="false" outlineLevel="0" collapsed="false">
      <c r="A132" s="5" t="n">
        <v>201</v>
      </c>
      <c r="B132" s="5" t="s">
        <v>265</v>
      </c>
      <c r="C132" s="5" t="s">
        <v>266</v>
      </c>
      <c r="D132" s="6" t="n">
        <v>2328493</v>
      </c>
      <c r="E132" s="6" t="n">
        <v>2237854</v>
      </c>
      <c r="F132" s="5" t="n">
        <v>2016</v>
      </c>
    </row>
    <row r="133" customFormat="false" ht="15" hidden="false" customHeight="false" outlineLevel="0" collapsed="false">
      <c r="A133" s="3" t="n">
        <v>202</v>
      </c>
      <c r="B133" s="3" t="s">
        <v>267</v>
      </c>
      <c r="C133" s="3" t="s">
        <v>268</v>
      </c>
      <c r="D133" s="4" t="n">
        <v>2359225</v>
      </c>
      <c r="E133" s="4" t="n">
        <v>2187130</v>
      </c>
      <c r="F133" s="3" t="n">
        <v>2016</v>
      </c>
    </row>
    <row r="134" customFormat="false" ht="15" hidden="false" customHeight="false" outlineLevel="0" collapsed="false">
      <c r="A134" s="5" t="n">
        <v>203</v>
      </c>
      <c r="B134" s="5" t="s">
        <v>269</v>
      </c>
      <c r="C134" s="5" t="s">
        <v>270</v>
      </c>
      <c r="D134" s="6" t="n">
        <v>2445668</v>
      </c>
      <c r="E134" s="6" t="n">
        <v>2322834</v>
      </c>
      <c r="F134" s="5" t="n">
        <v>2016</v>
      </c>
    </row>
    <row r="135" customFormat="false" ht="15" hidden="false" customHeight="false" outlineLevel="0" collapsed="false">
      <c r="A135" s="3" t="n">
        <v>204</v>
      </c>
      <c r="B135" s="3" t="s">
        <v>271</v>
      </c>
      <c r="C135" s="3" t="s">
        <v>272</v>
      </c>
      <c r="D135" s="4" t="n">
        <v>2338418</v>
      </c>
      <c r="E135" s="4" t="n">
        <v>2069219</v>
      </c>
      <c r="F135" s="3" t="n">
        <v>2017</v>
      </c>
    </row>
    <row r="136" customFormat="false" ht="15" hidden="false" customHeight="false" outlineLevel="0" collapsed="false">
      <c r="A136" s="5" t="n">
        <v>205</v>
      </c>
      <c r="B136" s="5" t="s">
        <v>273</v>
      </c>
      <c r="C136" s="5" t="s">
        <v>274</v>
      </c>
      <c r="D136" s="6" t="n">
        <v>2348321</v>
      </c>
      <c r="E136" s="6" t="n">
        <v>2160525</v>
      </c>
      <c r="F136" s="5" t="n">
        <v>2017</v>
      </c>
    </row>
    <row r="137" customFormat="false" ht="15" hidden="false" customHeight="false" outlineLevel="0" collapsed="false">
      <c r="A137" s="3" t="n">
        <v>206</v>
      </c>
      <c r="B137" s="3" t="s">
        <v>275</v>
      </c>
      <c r="C137" s="3" t="s">
        <v>276</v>
      </c>
      <c r="D137" s="4" t="n">
        <v>2339965</v>
      </c>
      <c r="E137" s="4" t="n">
        <v>2602327</v>
      </c>
      <c r="F137" s="3" t="n">
        <v>2017</v>
      </c>
    </row>
    <row r="138" customFormat="false" ht="15" hidden="false" customHeight="false" outlineLevel="0" collapsed="false">
      <c r="A138" s="5" t="n">
        <v>207</v>
      </c>
      <c r="B138" s="5" t="s">
        <v>277</v>
      </c>
      <c r="C138" s="5" t="s">
        <v>278</v>
      </c>
      <c r="D138" s="6" t="n">
        <v>2278096</v>
      </c>
      <c r="E138" s="6" t="n">
        <v>2290883</v>
      </c>
      <c r="F138" s="5" t="n">
        <v>2017</v>
      </c>
    </row>
    <row r="139" customFormat="false" ht="15" hidden="false" customHeight="false" outlineLevel="0" collapsed="false">
      <c r="A139" s="3" t="n">
        <v>208</v>
      </c>
      <c r="B139" s="3" t="s">
        <v>279</v>
      </c>
      <c r="C139" s="3" t="s">
        <v>280</v>
      </c>
      <c r="D139" s="4" t="n">
        <v>2344539</v>
      </c>
      <c r="E139" s="4" t="n">
        <v>2519180</v>
      </c>
      <c r="F139" s="3" t="n">
        <v>2017</v>
      </c>
    </row>
    <row r="140" customFormat="false" ht="15" hidden="false" customHeight="false" outlineLevel="0" collapsed="false">
      <c r="A140" s="5" t="n">
        <v>209</v>
      </c>
      <c r="B140" s="5" t="s">
        <v>281</v>
      </c>
      <c r="C140" s="5" t="s">
        <v>282</v>
      </c>
      <c r="D140" s="6" t="n">
        <v>2325919</v>
      </c>
      <c r="E140" s="6" t="n">
        <v>2382009</v>
      </c>
      <c r="F140" s="5" t="n">
        <v>2017</v>
      </c>
    </row>
    <row r="141" customFormat="false" ht="15" hidden="false" customHeight="false" outlineLevel="0" collapsed="false">
      <c r="A141" s="3" t="n">
        <v>210</v>
      </c>
      <c r="B141" s="3" t="s">
        <v>283</v>
      </c>
      <c r="C141" s="3" t="s">
        <v>284</v>
      </c>
      <c r="D141" s="4" t="n">
        <v>2289320</v>
      </c>
      <c r="E141" s="4" t="n">
        <v>2431283</v>
      </c>
      <c r="F141" s="3" t="n">
        <v>2017</v>
      </c>
    </row>
    <row r="142" customFormat="false" ht="15" hidden="false" customHeight="false" outlineLevel="0" collapsed="false">
      <c r="A142" s="5" t="n">
        <v>211</v>
      </c>
      <c r="B142" s="5" t="s">
        <v>285</v>
      </c>
      <c r="C142" s="5" t="s">
        <v>286</v>
      </c>
      <c r="D142" s="6" t="n">
        <v>2256009</v>
      </c>
      <c r="E142" s="6" t="n">
        <v>2453083</v>
      </c>
      <c r="F142" s="5" t="n">
        <v>2017</v>
      </c>
    </row>
    <row r="143" customFormat="false" ht="15" hidden="false" customHeight="false" outlineLevel="0" collapsed="false">
      <c r="A143" s="3" t="n">
        <v>212</v>
      </c>
      <c r="B143" s="3" t="s">
        <v>287</v>
      </c>
      <c r="C143" s="3" t="s">
        <v>288</v>
      </c>
      <c r="D143" s="4" t="n">
        <v>2318513</v>
      </c>
      <c r="E143" s="4" t="n">
        <v>2277344</v>
      </c>
      <c r="F143" s="3" t="n">
        <v>2017</v>
      </c>
    </row>
    <row r="144" customFormat="false" ht="15" hidden="false" customHeight="false" outlineLevel="0" collapsed="false">
      <c r="A144" s="5" t="n">
        <v>213</v>
      </c>
      <c r="B144" s="5" t="s">
        <v>289</v>
      </c>
      <c r="C144" s="5" t="s">
        <v>290</v>
      </c>
      <c r="D144" s="6" t="n">
        <v>2305044</v>
      </c>
      <c r="E144" s="6" t="n">
        <v>2223533</v>
      </c>
      <c r="F144" s="5" t="n">
        <v>2017</v>
      </c>
    </row>
    <row r="145" customFormat="false" ht="15" hidden="false" customHeight="false" outlineLevel="0" collapsed="false">
      <c r="A145" s="3" t="n">
        <v>214</v>
      </c>
      <c r="B145" s="3" t="s">
        <v>291</v>
      </c>
      <c r="C145" s="3" t="s">
        <v>292</v>
      </c>
      <c r="D145" s="4" t="n">
        <v>2354714</v>
      </c>
      <c r="E145" s="4" t="n">
        <v>2190039</v>
      </c>
      <c r="F145" s="3" t="n">
        <v>2017</v>
      </c>
    </row>
    <row r="146" customFormat="false" ht="15" hidden="false" customHeight="false" outlineLevel="0" collapsed="false">
      <c r="A146" s="5" t="n">
        <v>215</v>
      </c>
      <c r="B146" s="5" t="s">
        <v>293</v>
      </c>
      <c r="C146" s="5" t="s">
        <v>294</v>
      </c>
      <c r="D146" s="6" t="n">
        <v>2324735</v>
      </c>
      <c r="E146" s="6" t="n">
        <v>2217431</v>
      </c>
      <c r="F146" s="5" t="n">
        <v>2017</v>
      </c>
    </row>
    <row r="147" customFormat="false" ht="15" hidden="false" customHeight="false" outlineLevel="0" collapsed="false">
      <c r="A147" s="3" t="n">
        <v>216</v>
      </c>
      <c r="B147" s="3" t="s">
        <v>295</v>
      </c>
      <c r="C147" s="3" t="s">
        <v>296</v>
      </c>
      <c r="D147" s="4" t="n">
        <v>2348734</v>
      </c>
      <c r="E147" s="4" t="n">
        <v>2088286</v>
      </c>
      <c r="F147" s="3" t="n">
        <v>2018</v>
      </c>
    </row>
    <row r="148" customFormat="false" ht="15" hidden="false" customHeight="false" outlineLevel="0" collapsed="false">
      <c r="A148" s="5" t="n">
        <v>217</v>
      </c>
      <c r="B148" s="5" t="s">
        <v>297</v>
      </c>
      <c r="C148" s="5" t="s">
        <v>298</v>
      </c>
      <c r="D148" s="6" t="n">
        <v>2355479</v>
      </c>
      <c r="E148" s="6" t="n">
        <v>2158995</v>
      </c>
      <c r="F148" s="5" t="n">
        <v>2018</v>
      </c>
    </row>
    <row r="149" customFormat="false" ht="15" hidden="false" customHeight="false" outlineLevel="0" collapsed="false">
      <c r="A149" s="3" t="n">
        <v>218</v>
      </c>
      <c r="B149" s="3" t="s">
        <v>299</v>
      </c>
      <c r="C149" s="3" t="s">
        <v>300</v>
      </c>
      <c r="D149" s="4" t="n">
        <v>2353398</v>
      </c>
      <c r="E149" s="4" t="n">
        <v>2624862</v>
      </c>
      <c r="F149" s="3" t="n">
        <v>2018</v>
      </c>
    </row>
    <row r="150" customFormat="false" ht="15" hidden="false" customHeight="false" outlineLevel="0" collapsed="false">
      <c r="A150" s="5" t="n">
        <v>219</v>
      </c>
      <c r="B150" s="5" t="s">
        <v>301</v>
      </c>
      <c r="C150" s="5" t="s">
        <v>302</v>
      </c>
      <c r="D150" s="6" t="n">
        <v>2309900</v>
      </c>
      <c r="E150" s="6" t="n">
        <v>2322466</v>
      </c>
      <c r="F150" s="5" t="n">
        <v>2018</v>
      </c>
    </row>
    <row r="151" customFormat="false" ht="15" hidden="false" customHeight="false" outlineLevel="0" collapsed="false">
      <c r="A151" s="3" t="n">
        <v>220</v>
      </c>
      <c r="B151" s="3" t="s">
        <v>303</v>
      </c>
      <c r="C151" s="3" t="s">
        <v>304</v>
      </c>
      <c r="D151" s="4" t="n">
        <v>2372081</v>
      </c>
      <c r="E151" s="4" t="n">
        <v>2549138</v>
      </c>
      <c r="F151" s="3" t="n">
        <v>2018</v>
      </c>
    </row>
    <row r="152" customFormat="false" ht="15" hidden="false" customHeight="false" outlineLevel="0" collapsed="false">
      <c r="A152" s="5" t="n">
        <v>221</v>
      </c>
      <c r="B152" s="5" t="s">
        <v>305</v>
      </c>
      <c r="C152" s="5" t="s">
        <v>306</v>
      </c>
      <c r="D152" s="6" t="n">
        <v>2368004</v>
      </c>
      <c r="E152" s="6" t="n">
        <v>2422229</v>
      </c>
      <c r="F152" s="5" t="n">
        <v>2018</v>
      </c>
    </row>
    <row r="153" customFormat="false" ht="15" hidden="false" customHeight="false" outlineLevel="0" collapsed="false">
      <c r="A153" s="3" t="n">
        <v>222</v>
      </c>
      <c r="B153" s="3" t="s">
        <v>307</v>
      </c>
      <c r="C153" s="3" t="s">
        <v>308</v>
      </c>
      <c r="D153" s="4" t="n">
        <v>2322008</v>
      </c>
      <c r="E153" s="4" t="n">
        <v>2467357</v>
      </c>
      <c r="F153" s="3" t="n">
        <v>2018</v>
      </c>
    </row>
    <row r="154" customFormat="false" ht="15" hidden="false" customHeight="false" outlineLevel="0" collapsed="false">
      <c r="A154" s="5" t="n">
        <v>223</v>
      </c>
      <c r="B154" s="5" t="s">
        <v>309</v>
      </c>
      <c r="C154" s="5" t="s">
        <v>310</v>
      </c>
      <c r="D154" s="6" t="n">
        <v>2376671</v>
      </c>
      <c r="E154" s="6" t="n">
        <v>2562729</v>
      </c>
      <c r="F154" s="5" t="n">
        <v>2018</v>
      </c>
    </row>
    <row r="155" customFormat="false" ht="15" hidden="false" customHeight="false" outlineLevel="0" collapsed="false">
      <c r="A155" s="3" t="n">
        <v>224</v>
      </c>
      <c r="B155" s="3" t="s">
        <v>311</v>
      </c>
      <c r="C155" s="3" t="s">
        <v>312</v>
      </c>
      <c r="D155" s="4" t="n">
        <v>2302702</v>
      </c>
      <c r="E155" s="4" t="n">
        <v>2251091</v>
      </c>
      <c r="F155" s="3" t="n">
        <v>2018</v>
      </c>
    </row>
    <row r="156" customFormat="false" ht="15" hidden="false" customHeight="false" outlineLevel="0" collapsed="false">
      <c r="A156" s="5" t="n">
        <v>225</v>
      </c>
      <c r="B156" s="5" t="s">
        <v>313</v>
      </c>
      <c r="C156" s="5" t="s">
        <v>314</v>
      </c>
      <c r="D156" s="6" t="n">
        <v>2390692</v>
      </c>
      <c r="E156" s="6" t="n">
        <v>2309638</v>
      </c>
      <c r="F156" s="5" t="n">
        <v>2018</v>
      </c>
    </row>
    <row r="157" customFormat="false" ht="15" hidden="false" customHeight="false" outlineLevel="0" collapsed="false">
      <c r="A157" s="3" t="n">
        <v>226</v>
      </c>
      <c r="B157" s="3" t="s">
        <v>315</v>
      </c>
      <c r="C157" s="3" t="s">
        <v>316</v>
      </c>
      <c r="D157" s="4" t="n">
        <v>2389923</v>
      </c>
      <c r="E157" s="4" t="n">
        <v>2227339</v>
      </c>
      <c r="F157" s="3" t="n">
        <v>2018</v>
      </c>
    </row>
    <row r="158" customFormat="false" ht="15" hidden="false" customHeight="false" outlineLevel="0" collapsed="false">
      <c r="A158" s="5" t="n">
        <v>227</v>
      </c>
      <c r="B158" s="5" t="s">
        <v>317</v>
      </c>
      <c r="C158" s="5" t="s">
        <v>318</v>
      </c>
      <c r="D158" s="6" t="n">
        <v>2384838</v>
      </c>
      <c r="E158" s="6" t="n">
        <v>2278150</v>
      </c>
      <c r="F158" s="5" t="n">
        <v>2018</v>
      </c>
    </row>
    <row r="159" customFormat="false" ht="15" hidden="false" customHeight="false" outlineLevel="0" collapsed="false">
      <c r="A159" s="3" t="n">
        <v>228</v>
      </c>
      <c r="B159" s="3" t="s">
        <v>319</v>
      </c>
      <c r="C159" s="3" t="s">
        <v>320</v>
      </c>
      <c r="D159" s="4" t="n">
        <v>2331852</v>
      </c>
      <c r="E159" s="4" t="n">
        <v>2082969</v>
      </c>
      <c r="F159" s="3" t="n">
        <v>2019</v>
      </c>
    </row>
    <row r="160" customFormat="false" ht="15" hidden="false" customHeight="false" outlineLevel="0" collapsed="false">
      <c r="A160" s="5" t="n">
        <v>229</v>
      </c>
      <c r="B160" s="5" t="s">
        <v>321</v>
      </c>
      <c r="C160" s="5" t="s">
        <v>322</v>
      </c>
      <c r="D160" s="6" t="n">
        <v>2359029</v>
      </c>
      <c r="E160" s="6" t="n">
        <v>2159312</v>
      </c>
      <c r="F160" s="5" t="n">
        <v>2019</v>
      </c>
    </row>
    <row r="161" customFormat="false" ht="15" hidden="false" customHeight="false" outlineLevel="0" collapsed="false">
      <c r="A161" s="3" t="n">
        <v>230</v>
      </c>
      <c r="B161" s="3" t="s">
        <v>323</v>
      </c>
      <c r="C161" s="3" t="s">
        <v>324</v>
      </c>
      <c r="D161" s="4" t="n">
        <v>2381175</v>
      </c>
      <c r="E161" s="4" t="n">
        <v>2669192</v>
      </c>
      <c r="F161" s="3" t="n">
        <v>2019</v>
      </c>
    </row>
    <row r="162" customFormat="false" ht="15" hidden="false" customHeight="false" outlineLevel="0" collapsed="false">
      <c r="A162" s="5" t="n">
        <v>231</v>
      </c>
      <c r="B162" s="5" t="s">
        <v>325</v>
      </c>
      <c r="C162" s="5" t="s">
        <v>326</v>
      </c>
      <c r="D162" s="6" t="n">
        <v>2428798</v>
      </c>
      <c r="E162" s="6" t="n">
        <v>2455205</v>
      </c>
      <c r="F162" s="5" t="n">
        <v>2019</v>
      </c>
    </row>
    <row r="163" customFormat="false" ht="15" hidden="false" customHeight="false" outlineLevel="0" collapsed="false">
      <c r="A163" s="3" t="n">
        <v>232</v>
      </c>
      <c r="B163" s="3" t="s">
        <v>327</v>
      </c>
      <c r="C163" s="3" t="s">
        <v>328</v>
      </c>
      <c r="D163" s="4" t="n">
        <v>2417765</v>
      </c>
      <c r="E163" s="4" t="n">
        <v>2595768</v>
      </c>
      <c r="F163" s="3" t="n">
        <v>2019</v>
      </c>
    </row>
    <row r="164" customFormat="false" ht="15" hidden="false" customHeight="false" outlineLevel="0" collapsed="false">
      <c r="A164" s="5" t="n">
        <v>233</v>
      </c>
      <c r="B164" s="5" t="s">
        <v>329</v>
      </c>
      <c r="C164" s="5" t="s">
        <v>330</v>
      </c>
      <c r="D164" s="6" t="n">
        <v>2354020</v>
      </c>
      <c r="E164" s="6" t="n">
        <v>2408043</v>
      </c>
      <c r="F164" s="5" t="n">
        <v>2019</v>
      </c>
    </row>
    <row r="165" customFormat="false" ht="15" hidden="false" customHeight="false" outlineLevel="0" collapsed="false">
      <c r="A165" s="3" t="n">
        <v>234</v>
      </c>
      <c r="B165" s="3" t="s">
        <v>331</v>
      </c>
      <c r="C165" s="3" t="s">
        <v>332</v>
      </c>
      <c r="D165" s="4" t="n">
        <v>2447431</v>
      </c>
      <c r="E165" s="4" t="n">
        <v>2593527</v>
      </c>
      <c r="F165" s="3" t="n">
        <v>2019</v>
      </c>
    </row>
    <row r="166" customFormat="false" ht="15" hidden="false" customHeight="false" outlineLevel="0" collapsed="false">
      <c r="A166" s="5" t="n">
        <v>235</v>
      </c>
      <c r="B166" s="5" t="s">
        <v>333</v>
      </c>
      <c r="C166" s="5" t="s">
        <v>334</v>
      </c>
      <c r="D166" s="6" t="n">
        <v>2501111</v>
      </c>
      <c r="E166" s="6" t="n">
        <v>2675222</v>
      </c>
      <c r="F166" s="5" t="n">
        <v>2019</v>
      </c>
    </row>
    <row r="167" customFormat="false" ht="15" hidden="false" customHeight="false" outlineLevel="0" collapsed="false">
      <c r="A167" s="3" t="n">
        <v>236</v>
      </c>
      <c r="B167" s="3" t="s">
        <v>335</v>
      </c>
      <c r="C167" s="3" t="s">
        <v>336</v>
      </c>
      <c r="D167" s="4" t="n">
        <v>2428070</v>
      </c>
      <c r="E167" s="4" t="n">
        <v>2368105</v>
      </c>
      <c r="F167" s="3" t="n">
        <v>2019</v>
      </c>
    </row>
    <row r="168" customFormat="false" ht="15" hidden="false" customHeight="false" outlineLevel="0" collapsed="false">
      <c r="A168" s="5" t="n">
        <v>237</v>
      </c>
      <c r="B168" s="5" t="s">
        <v>337</v>
      </c>
      <c r="C168" s="5" t="s">
        <v>338</v>
      </c>
      <c r="D168" s="6" t="n">
        <v>2454327</v>
      </c>
      <c r="E168" s="6" t="n">
        <v>2375355</v>
      </c>
      <c r="F168" s="5" t="n">
        <v>2019</v>
      </c>
    </row>
    <row r="169" customFormat="false" ht="15" hidden="false" customHeight="false" outlineLevel="0" collapsed="false">
      <c r="A169" s="3" t="n">
        <v>238</v>
      </c>
      <c r="B169" s="3" t="s">
        <v>339</v>
      </c>
      <c r="C169" s="3" t="s">
        <v>340</v>
      </c>
      <c r="D169" s="4" t="n">
        <v>2551020</v>
      </c>
      <c r="E169" s="4" t="n">
        <v>2364970</v>
      </c>
      <c r="F169" s="3" t="n">
        <v>2019</v>
      </c>
    </row>
    <row r="170" customFormat="false" ht="15" hidden="false" customHeight="false" outlineLevel="0" collapsed="false">
      <c r="A170" s="5" t="n">
        <v>239</v>
      </c>
      <c r="B170" s="5" t="s">
        <v>341</v>
      </c>
      <c r="C170" s="5" t="s">
        <v>342</v>
      </c>
      <c r="D170" s="6" t="n">
        <v>2479581</v>
      </c>
      <c r="E170" s="6" t="n">
        <v>2363792</v>
      </c>
      <c r="F170" s="5" t="n">
        <v>2019</v>
      </c>
    </row>
    <row r="171" customFormat="false" ht="15" hidden="false" customHeight="false" outlineLevel="0" collapsed="false">
      <c r="A171" s="3" t="n">
        <v>240</v>
      </c>
      <c r="B171" s="3" t="s">
        <v>343</v>
      </c>
      <c r="C171" s="3" t="s">
        <v>344</v>
      </c>
      <c r="D171" s="4" t="n">
        <v>2478805</v>
      </c>
      <c r="E171" s="4" t="n">
        <v>2223793</v>
      </c>
      <c r="F171" s="3" t="n">
        <v>2020</v>
      </c>
    </row>
    <row r="172" customFormat="false" ht="15" hidden="false" customHeight="false" outlineLevel="0" collapsed="false">
      <c r="A172" s="5" t="n">
        <v>241</v>
      </c>
      <c r="B172" s="5" t="s">
        <v>345</v>
      </c>
      <c r="C172" s="5" t="s">
        <v>346</v>
      </c>
      <c r="D172" s="6" t="n">
        <v>2556048</v>
      </c>
      <c r="E172" s="6" t="n">
        <v>2344720</v>
      </c>
      <c r="F172" s="5" t="n">
        <v>2020</v>
      </c>
    </row>
    <row r="173" customFormat="false" ht="15" hidden="false" customHeight="false" outlineLevel="0" collapsed="false">
      <c r="A173" s="3" t="n">
        <v>242</v>
      </c>
      <c r="B173" s="3" t="s">
        <v>347</v>
      </c>
      <c r="C173" s="3" t="s">
        <v>348</v>
      </c>
      <c r="D173" s="4" t="n">
        <v>1783922</v>
      </c>
      <c r="E173" s="4" t="n">
        <v>2012138</v>
      </c>
      <c r="F173" s="3" t="n">
        <v>2020</v>
      </c>
    </row>
    <row r="174" customFormat="false" ht="15" hidden="false" customHeight="false" outlineLevel="0" collapsed="false">
      <c r="A174" s="5" t="n">
        <v>243</v>
      </c>
      <c r="B174" s="5" t="s">
        <v>349</v>
      </c>
      <c r="C174" s="5" t="s">
        <v>350</v>
      </c>
      <c r="D174" s="6" t="n">
        <v>1566940</v>
      </c>
      <c r="E174" s="6" t="n">
        <v>1598790</v>
      </c>
      <c r="F174" s="5" t="n">
        <v>2020</v>
      </c>
    </row>
    <row r="175" customFormat="false" ht="15" hidden="false" customHeight="false" outlineLevel="0" collapsed="false">
      <c r="A175" s="3" t="n">
        <v>244</v>
      </c>
      <c r="B175" s="3" t="s">
        <v>351</v>
      </c>
      <c r="C175" s="3" t="s">
        <v>352</v>
      </c>
      <c r="D175" s="4" t="n">
        <v>2254189</v>
      </c>
      <c r="E175" s="4" t="n">
        <v>2417240</v>
      </c>
      <c r="F175" s="3" t="n">
        <v>2020</v>
      </c>
    </row>
    <row r="176" customFormat="false" ht="15" hidden="false" customHeight="false" outlineLevel="0" collapsed="false">
      <c r="A176" s="5" t="n">
        <v>245</v>
      </c>
      <c r="B176" s="5" t="s">
        <v>353</v>
      </c>
      <c r="C176" s="5" t="s">
        <v>354</v>
      </c>
      <c r="D176" s="6" t="n">
        <v>2550452</v>
      </c>
      <c r="E176" s="6" t="n">
        <v>2615241</v>
      </c>
      <c r="F176" s="5" t="n">
        <v>2020</v>
      </c>
    </row>
    <row r="177" customFormat="false" ht="15" hidden="false" customHeight="false" outlineLevel="0" collapsed="false">
      <c r="A177" s="3" t="n">
        <v>246</v>
      </c>
      <c r="B177" s="3" t="s">
        <v>355</v>
      </c>
      <c r="C177" s="3" t="s">
        <v>356</v>
      </c>
      <c r="D177" s="4" t="n">
        <v>2456565</v>
      </c>
      <c r="E177" s="4" t="n">
        <v>2587098</v>
      </c>
      <c r="F177" s="3" t="n">
        <v>2020</v>
      </c>
    </row>
    <row r="178" customFormat="false" ht="15" hidden="false" customHeight="false" outlineLevel="0" collapsed="false">
      <c r="A178" s="5" t="n">
        <v>247</v>
      </c>
      <c r="B178" s="5" t="s">
        <v>357</v>
      </c>
      <c r="C178" s="5" t="s">
        <v>358</v>
      </c>
      <c r="D178" s="6" t="n">
        <v>2373636</v>
      </c>
      <c r="E178" s="6" t="n">
        <v>2519617</v>
      </c>
      <c r="F178" s="5" t="n">
        <v>2020</v>
      </c>
    </row>
    <row r="179" customFormat="false" ht="15" hidden="false" customHeight="false" outlineLevel="0" collapsed="false">
      <c r="A179" s="3" t="n">
        <v>248</v>
      </c>
      <c r="B179" s="3" t="s">
        <v>359</v>
      </c>
      <c r="C179" s="3" t="s">
        <v>360</v>
      </c>
      <c r="D179" s="4" t="n">
        <v>2486515</v>
      </c>
      <c r="E179" s="4" t="n">
        <v>2422644</v>
      </c>
      <c r="F179" s="3" t="n">
        <v>2020</v>
      </c>
    </row>
    <row r="180" customFormat="false" ht="15" hidden="false" customHeight="false" outlineLevel="0" collapsed="false">
      <c r="A180" s="5" t="n">
        <v>249</v>
      </c>
      <c r="B180" s="5" t="s">
        <v>361</v>
      </c>
      <c r="C180" s="5" t="s">
        <v>362</v>
      </c>
      <c r="D180" s="6" t="n">
        <v>2495766</v>
      </c>
      <c r="E180" s="6" t="n">
        <v>2409904</v>
      </c>
      <c r="F180" s="5" t="n">
        <v>2020</v>
      </c>
    </row>
    <row r="181" customFormat="false" ht="15" hidden="false" customHeight="false" outlineLevel="0" collapsed="false">
      <c r="A181" s="3" t="n">
        <v>250</v>
      </c>
      <c r="B181" s="3" t="s">
        <v>363</v>
      </c>
      <c r="C181" s="3" t="s">
        <v>364</v>
      </c>
      <c r="D181" s="4" t="n">
        <v>2346220</v>
      </c>
      <c r="E181" s="4" t="n">
        <v>2162621</v>
      </c>
      <c r="F181" s="3" t="n">
        <v>2020</v>
      </c>
    </row>
    <row r="182" customFormat="false" ht="15" hidden="false" customHeight="false" outlineLevel="0" collapsed="false">
      <c r="A182" s="5" t="n">
        <v>251</v>
      </c>
      <c r="B182" s="5" t="s">
        <v>365</v>
      </c>
      <c r="C182" s="5" t="s">
        <v>366</v>
      </c>
      <c r="D182" s="6" t="n">
        <v>2476065</v>
      </c>
      <c r="E182" s="6" t="n">
        <v>2357456</v>
      </c>
      <c r="F182" s="5" t="n">
        <v>2020</v>
      </c>
    </row>
    <row r="183" customFormat="false" ht="15" hidden="false" customHeight="false" outlineLevel="0" collapsed="false">
      <c r="A183" s="3" t="n">
        <v>252</v>
      </c>
      <c r="B183" s="3" t="s">
        <v>367</v>
      </c>
      <c r="C183" s="3" t="s">
        <v>368</v>
      </c>
      <c r="D183" s="4" t="n">
        <v>2515588</v>
      </c>
      <c r="E183" s="4" t="n">
        <v>2267375</v>
      </c>
      <c r="F183" s="3" t="n">
        <v>2021</v>
      </c>
    </row>
    <row r="184" customFormat="false" ht="15" hidden="false" customHeight="false" outlineLevel="0" collapsed="false">
      <c r="A184" s="5" t="n">
        <v>253</v>
      </c>
      <c r="B184" s="5" t="s">
        <v>369</v>
      </c>
      <c r="C184" s="5" t="s">
        <v>370</v>
      </c>
      <c r="D184" s="6" t="n">
        <v>2343424</v>
      </c>
      <c r="E184" s="6" t="n">
        <v>2166208</v>
      </c>
      <c r="F184" s="5" t="n">
        <v>2021</v>
      </c>
    </row>
    <row r="185" customFormat="false" ht="15" hidden="false" customHeight="false" outlineLevel="0" collapsed="false">
      <c r="A185" s="3" t="n">
        <v>254</v>
      </c>
      <c r="B185" s="3" t="s">
        <v>371</v>
      </c>
      <c r="C185" s="3" t="s">
        <v>372</v>
      </c>
      <c r="D185" s="4" t="n">
        <v>2826479</v>
      </c>
      <c r="E185" s="4" t="n">
        <v>3193812</v>
      </c>
      <c r="F185" s="3" t="n">
        <v>2021</v>
      </c>
    </row>
    <row r="186" customFormat="false" ht="15" hidden="false" customHeight="false" outlineLevel="0" collapsed="false">
      <c r="A186" s="5" t="n">
        <v>255</v>
      </c>
      <c r="B186" s="5" t="s">
        <v>373</v>
      </c>
      <c r="C186" s="5" t="s">
        <v>374</v>
      </c>
      <c r="D186" s="6" t="n">
        <v>2827187</v>
      </c>
      <c r="E186" s="6" t="n">
        <v>2908136</v>
      </c>
      <c r="F186" s="5" t="n">
        <v>2021</v>
      </c>
    </row>
    <row r="187" customFormat="false" ht="15" hidden="false" customHeight="false" outlineLevel="0" collapsed="false">
      <c r="A187" s="3" t="n">
        <v>256</v>
      </c>
      <c r="B187" s="3" t="s">
        <v>375</v>
      </c>
      <c r="C187" s="3" t="s">
        <v>376</v>
      </c>
      <c r="D187" s="4" t="n">
        <v>2640117</v>
      </c>
      <c r="E187" s="4" t="n">
        <v>2829811</v>
      </c>
      <c r="F187" s="3" t="n">
        <v>2021</v>
      </c>
    </row>
    <row r="188" customFormat="false" ht="15" hidden="false" customHeight="false" outlineLevel="0" collapsed="false">
      <c r="A188" s="5" t="n">
        <v>257</v>
      </c>
      <c r="B188" s="5" t="s">
        <v>377</v>
      </c>
      <c r="C188" s="5" t="s">
        <v>378</v>
      </c>
      <c r="D188" s="6" t="n">
        <v>2678997</v>
      </c>
      <c r="E188" s="6" t="n">
        <v>2746129</v>
      </c>
      <c r="F188" s="5" t="n">
        <v>2021</v>
      </c>
    </row>
    <row r="189" customFormat="false" ht="15" hidden="false" customHeight="false" outlineLevel="0" collapsed="false">
      <c r="A189" s="3" t="n">
        <v>258</v>
      </c>
      <c r="B189" s="3" t="s">
        <v>379</v>
      </c>
      <c r="C189" s="3" t="s">
        <v>380</v>
      </c>
      <c r="D189" s="4" t="n">
        <v>2549077</v>
      </c>
      <c r="E189" s="4" t="n">
        <v>2667402</v>
      </c>
      <c r="F189" s="3" t="n">
        <v>2021</v>
      </c>
    </row>
    <row r="190" customFormat="false" ht="15" hidden="false" customHeight="false" outlineLevel="0" collapsed="false">
      <c r="A190" s="5" t="n">
        <v>259</v>
      </c>
      <c r="B190" s="5" t="s">
        <v>381</v>
      </c>
      <c r="C190" s="5" t="s">
        <v>382</v>
      </c>
      <c r="D190" s="6" t="n">
        <v>2396457</v>
      </c>
      <c r="E190" s="6" t="n">
        <v>2534874</v>
      </c>
      <c r="F190" s="5" t="n">
        <v>2021</v>
      </c>
    </row>
    <row r="191" customFormat="false" ht="15" hidden="false" customHeight="false" outlineLevel="0" collapsed="false">
      <c r="A191" s="3" t="n">
        <v>260</v>
      </c>
      <c r="B191" s="3" t="s">
        <v>383</v>
      </c>
      <c r="C191" s="3" t="s">
        <v>384</v>
      </c>
      <c r="D191" s="4" t="n">
        <v>2405010</v>
      </c>
      <c r="E191" s="4" t="n">
        <v>2343682</v>
      </c>
      <c r="F191" s="3" t="n">
        <v>2021</v>
      </c>
    </row>
    <row r="192" customFormat="false" ht="15" hidden="false" customHeight="false" outlineLevel="0" collapsed="false">
      <c r="A192" s="5" t="n">
        <v>261</v>
      </c>
      <c r="B192" s="5" t="s">
        <v>385</v>
      </c>
      <c r="C192" s="5" t="s">
        <v>386</v>
      </c>
      <c r="D192" s="6" t="n">
        <v>2388911</v>
      </c>
      <c r="E192" s="6" t="n">
        <v>2303315</v>
      </c>
      <c r="F192" s="5" t="n">
        <v>2021</v>
      </c>
    </row>
    <row r="193" customFormat="false" ht="15" hidden="false" customHeight="false" outlineLevel="0" collapsed="false">
      <c r="A193" s="3" t="n">
        <v>262</v>
      </c>
      <c r="B193" s="3" t="s">
        <v>387</v>
      </c>
      <c r="C193" s="3" t="s">
        <v>388</v>
      </c>
      <c r="D193" s="4" t="n">
        <v>2445550</v>
      </c>
      <c r="E193" s="4" t="n">
        <v>2238671</v>
      </c>
      <c r="F193" s="3" t="n">
        <v>2021</v>
      </c>
    </row>
    <row r="194" customFormat="false" ht="15" hidden="false" customHeight="false" outlineLevel="0" collapsed="false">
      <c r="A194" s="5" t="n">
        <v>263</v>
      </c>
      <c r="B194" s="5" t="s">
        <v>389</v>
      </c>
      <c r="C194" s="5" t="s">
        <v>390</v>
      </c>
      <c r="D194" s="6" t="n">
        <v>2393344</v>
      </c>
      <c r="E194" s="6" t="n">
        <v>2277727</v>
      </c>
      <c r="F194" s="5" t="n">
        <v>2021</v>
      </c>
    </row>
    <row r="195" customFormat="false" ht="15" hidden="false" customHeight="false" outlineLevel="0" collapsed="false">
      <c r="A195" s="3" t="n">
        <v>264</v>
      </c>
      <c r="B195" s="3" t="s">
        <v>391</v>
      </c>
      <c r="C195" s="3" t="s">
        <v>392</v>
      </c>
      <c r="D195" s="4" t="n">
        <v>2337074</v>
      </c>
      <c r="E195" s="4" t="n">
        <v>2107083</v>
      </c>
      <c r="F195" s="3" t="n">
        <v>2022</v>
      </c>
    </row>
    <row r="196" customFormat="false" ht="15" hidden="false" customHeight="false" outlineLevel="0" collapsed="false">
      <c r="A196" s="5" t="n">
        <v>265</v>
      </c>
      <c r="B196" s="5" t="s">
        <v>393</v>
      </c>
      <c r="C196" s="5" t="s">
        <v>394</v>
      </c>
      <c r="D196" s="6" t="n">
        <v>2362867</v>
      </c>
      <c r="E196" s="6" t="n">
        <v>2199637</v>
      </c>
      <c r="F196" s="5" t="n">
        <v>2022</v>
      </c>
    </row>
    <row r="197" customFormat="false" ht="15" hidden="false" customHeight="false" outlineLevel="0" collapsed="false">
      <c r="A197" s="3" t="n">
        <v>266</v>
      </c>
      <c r="B197" s="3" t="s">
        <v>395</v>
      </c>
      <c r="C197" s="3" t="s">
        <v>396</v>
      </c>
      <c r="D197" s="4" t="n">
        <v>2373062</v>
      </c>
      <c r="E197" s="4" t="n">
        <v>2691647</v>
      </c>
      <c r="F197" s="3" t="n">
        <v>2022</v>
      </c>
    </row>
    <row r="198" customFormat="false" ht="15" hidden="false" customHeight="false" outlineLevel="0" collapsed="false">
      <c r="A198" s="5" t="n">
        <v>267</v>
      </c>
      <c r="B198" s="5" t="s">
        <v>397</v>
      </c>
      <c r="C198" s="5" t="s">
        <v>398</v>
      </c>
      <c r="D198" s="6" t="n">
        <v>2367150</v>
      </c>
      <c r="E198" s="6" t="n">
        <v>2456528</v>
      </c>
      <c r="F198" s="5" t="n">
        <v>2022</v>
      </c>
    </row>
    <row r="199" customFormat="false" ht="15" hidden="false" customHeight="false" outlineLevel="0" collapsed="false">
      <c r="A199" s="3" t="n">
        <v>268</v>
      </c>
      <c r="B199" s="3" t="s">
        <v>399</v>
      </c>
      <c r="C199" s="3" t="s">
        <v>400</v>
      </c>
      <c r="D199" s="4" t="n">
        <v>2234748</v>
      </c>
      <c r="E199" s="4" t="n">
        <v>2395442</v>
      </c>
      <c r="F199" s="3" t="n">
        <v>2022</v>
      </c>
    </row>
    <row r="200" customFormat="false" ht="15" hidden="false" customHeight="false" outlineLevel="0" collapsed="false">
      <c r="A200" s="5" t="n">
        <v>269</v>
      </c>
      <c r="B200" s="5" t="s">
        <v>401</v>
      </c>
      <c r="C200" s="5" t="s">
        <v>402</v>
      </c>
      <c r="D200" s="6" t="n">
        <v>2246398</v>
      </c>
      <c r="E200" s="6" t="n">
        <v>2296562</v>
      </c>
      <c r="F200" s="5" t="n">
        <v>2022</v>
      </c>
    </row>
    <row r="201" customFormat="false" ht="15" hidden="false" customHeight="false" outlineLevel="0" collapsed="false">
      <c r="A201" s="3" t="n">
        <v>270</v>
      </c>
      <c r="B201" s="3" t="s">
        <v>403</v>
      </c>
      <c r="C201" s="3" t="s">
        <v>404</v>
      </c>
      <c r="D201" s="4" t="n">
        <v>2093771</v>
      </c>
      <c r="E201" s="4" t="n">
        <v>2177555</v>
      </c>
      <c r="F201" s="3" t="n">
        <v>2022</v>
      </c>
    </row>
    <row r="202" customFormat="false" ht="15" hidden="false" customHeight="false" outlineLevel="0" collapsed="false">
      <c r="A202" s="5" t="n">
        <v>271</v>
      </c>
      <c r="B202" s="5" t="s">
        <v>405</v>
      </c>
      <c r="C202" s="5" t="s">
        <v>406</v>
      </c>
      <c r="D202" s="6" t="n">
        <v>2185762</v>
      </c>
      <c r="E202" s="6" t="n">
        <v>2304010</v>
      </c>
      <c r="F202" s="5" t="n">
        <v>2022</v>
      </c>
    </row>
    <row r="203" customFormat="false" ht="15" hidden="false" customHeight="false" outlineLevel="0" collapsed="false">
      <c r="A203" s="3" t="n">
        <v>272</v>
      </c>
      <c r="B203" s="3" t="s">
        <v>407</v>
      </c>
      <c r="C203" s="3" t="s">
        <v>408</v>
      </c>
      <c r="D203" s="4" t="n">
        <v>2181615</v>
      </c>
      <c r="E203" s="4" t="n">
        <v>2121762</v>
      </c>
      <c r="F203" s="3" t="n">
        <v>2022</v>
      </c>
    </row>
    <row r="204" customFormat="false" ht="15" hidden="false" customHeight="false" outlineLevel="0" collapsed="false">
      <c r="A204" s="5" t="n">
        <v>273</v>
      </c>
      <c r="B204" s="5" t="s">
        <v>409</v>
      </c>
      <c r="C204" s="5" t="s">
        <v>410</v>
      </c>
      <c r="D204" s="6" t="n">
        <v>2136268</v>
      </c>
      <c r="E204" s="6" t="n">
        <v>2053060</v>
      </c>
      <c r="F204" s="5" t="n">
        <v>2022</v>
      </c>
    </row>
    <row r="205" customFormat="false" ht="15" hidden="false" customHeight="false" outlineLevel="0" collapsed="false">
      <c r="A205" s="3" t="n">
        <v>274</v>
      </c>
      <c r="B205" s="3" t="s">
        <v>411</v>
      </c>
      <c r="C205" s="3" t="s">
        <v>412</v>
      </c>
      <c r="D205" s="4" t="n">
        <v>2063651</v>
      </c>
      <c r="E205" s="4" t="n">
        <v>1889329</v>
      </c>
      <c r="F205" s="3" t="n">
        <v>2022</v>
      </c>
    </row>
    <row r="206" customFormat="false" ht="15" hidden="false" customHeight="false" outlineLevel="0" collapsed="false">
      <c r="A206" s="5" t="n">
        <v>275</v>
      </c>
      <c r="B206" s="5" t="s">
        <v>413</v>
      </c>
      <c r="C206" s="5" t="s">
        <v>414</v>
      </c>
      <c r="D206" s="6" t="n">
        <v>2015813</v>
      </c>
      <c r="E206" s="6" t="n">
        <v>1924185</v>
      </c>
      <c r="F206" s="5" t="n">
        <v>2022</v>
      </c>
    </row>
    <row r="207" customFormat="false" ht="15" hidden="false" customHeight="false" outlineLevel="0" collapsed="false">
      <c r="A207" s="3" t="n">
        <v>276</v>
      </c>
      <c r="B207" s="3" t="s">
        <v>415</v>
      </c>
      <c r="C207" s="3" t="s">
        <v>416</v>
      </c>
      <c r="D207" s="4" t="n">
        <v>2132251</v>
      </c>
      <c r="E207" s="4" t="n">
        <v>1919459</v>
      </c>
      <c r="F207" s="3" t="n">
        <v>2023</v>
      </c>
    </row>
    <row r="208" customFormat="false" ht="15" hidden="false" customHeight="false" outlineLevel="0" collapsed="false">
      <c r="A208" s="5" t="n">
        <v>277</v>
      </c>
      <c r="B208" s="5" t="s">
        <v>417</v>
      </c>
      <c r="C208" s="5" t="s">
        <v>418</v>
      </c>
      <c r="D208" s="6" t="n">
        <v>2067793</v>
      </c>
      <c r="E208" s="6" t="n">
        <v>1936879</v>
      </c>
      <c r="F208" s="5" t="n">
        <v>2023</v>
      </c>
    </row>
    <row r="209" customFormat="false" ht="15" hidden="false" customHeight="false" outlineLevel="0" collapsed="false">
      <c r="A209" s="3" t="n">
        <v>278</v>
      </c>
      <c r="B209" s="3" t="s">
        <v>419</v>
      </c>
      <c r="C209" s="3" t="s">
        <v>420</v>
      </c>
      <c r="D209" s="4" t="n">
        <v>2004249</v>
      </c>
      <c r="E209" s="4" t="n">
        <v>2276708</v>
      </c>
      <c r="F209" s="3" t="n">
        <v>2023</v>
      </c>
    </row>
    <row r="210" customFormat="false" ht="15" hidden="false" customHeight="false" outlineLevel="0" collapsed="false">
      <c r="A210" s="5" t="n">
        <v>279</v>
      </c>
      <c r="B210" s="5" t="s">
        <v>421</v>
      </c>
      <c r="C210" s="5" t="s">
        <v>422</v>
      </c>
      <c r="D210" s="6" t="n">
        <v>1962843</v>
      </c>
      <c r="E210" s="6" t="n">
        <v>2049871</v>
      </c>
      <c r="F210" s="5" t="n">
        <v>2023</v>
      </c>
    </row>
    <row r="211" customFormat="false" ht="15" hidden="false" customHeight="false" outlineLevel="0" collapsed="false">
      <c r="A211" s="3" t="n">
        <v>280</v>
      </c>
      <c r="B211" s="3" t="s">
        <v>423</v>
      </c>
      <c r="C211" s="3" t="s">
        <v>424</v>
      </c>
      <c r="D211" s="4" t="n">
        <v>2064046</v>
      </c>
      <c r="E211" s="4" t="n">
        <v>2212636</v>
      </c>
      <c r="F211" s="3" t="n">
        <v>2023</v>
      </c>
    </row>
    <row r="212" customFormat="false" ht="15" hidden="false" customHeight="false" outlineLevel="0" collapsed="false">
      <c r="A212" s="5" t="n">
        <v>281</v>
      </c>
      <c r="B212" s="5" t="s">
        <v>425</v>
      </c>
      <c r="C212" s="5" t="s">
        <v>426</v>
      </c>
      <c r="D212" s="6" t="n">
        <v>2095997</v>
      </c>
      <c r="E212" s="6" t="n">
        <v>2129689</v>
      </c>
      <c r="F212" s="5" t="n">
        <v>2023</v>
      </c>
    </row>
    <row r="213" customFormat="false" ht="15" hidden="false" customHeight="false" outlineLevel="0" collapsed="false">
      <c r="A213" s="3" t="n">
        <v>282</v>
      </c>
      <c r="B213" s="3" t="s">
        <v>427</v>
      </c>
      <c r="C213" s="3" t="s">
        <v>428</v>
      </c>
      <c r="D213" s="4" t="n">
        <v>2027203</v>
      </c>
      <c r="E213" s="4" t="n">
        <v>2097431</v>
      </c>
      <c r="F213" s="3" t="n">
        <v>2023</v>
      </c>
    </row>
    <row r="214" customFormat="false" ht="15" hidden="false" customHeight="false" outlineLevel="0" collapsed="false">
      <c r="A214" s="5" t="n">
        <v>283</v>
      </c>
      <c r="B214" s="5" t="s">
        <v>429</v>
      </c>
      <c r="C214" s="5" t="s">
        <v>430</v>
      </c>
      <c r="D214" s="6" t="n">
        <v>2085724</v>
      </c>
      <c r="E214" s="6" t="n">
        <v>2199744</v>
      </c>
      <c r="F214" s="5" t="n">
        <v>2023</v>
      </c>
    </row>
    <row r="215" customFormat="false" ht="15" hidden="false" customHeight="false" outlineLevel="0" collapsed="false">
      <c r="A215" s="3" t="n">
        <v>284</v>
      </c>
      <c r="B215" s="3" t="s">
        <v>431</v>
      </c>
      <c r="C215" s="3" t="s">
        <v>432</v>
      </c>
      <c r="D215" s="4" t="n">
        <v>2095929</v>
      </c>
      <c r="E215" s="4" t="n">
        <v>2032335</v>
      </c>
      <c r="F215" s="3" t="n">
        <v>2023</v>
      </c>
    </row>
    <row r="216" customFormat="false" ht="15" hidden="false" customHeight="false" outlineLevel="0" collapsed="false">
      <c r="A216" s="5" t="n">
        <v>285</v>
      </c>
      <c r="B216" s="5" t="s">
        <v>433</v>
      </c>
      <c r="C216" s="5" t="s">
        <v>434</v>
      </c>
      <c r="D216" s="6" t="n">
        <v>2017239</v>
      </c>
      <c r="E216" s="6" t="n">
        <v>1938988</v>
      </c>
      <c r="F216" s="5" t="n">
        <v>2023</v>
      </c>
    </row>
    <row r="217" customFormat="false" ht="15" hidden="false" customHeight="false" outlineLevel="0" collapsed="false">
      <c r="A217" s="3" t="n">
        <v>286</v>
      </c>
      <c r="B217" s="3" t="s">
        <v>435</v>
      </c>
      <c r="C217" s="3" t="s">
        <v>436</v>
      </c>
      <c r="D217" s="4" t="n">
        <v>2034194</v>
      </c>
      <c r="E217" s="4" t="n">
        <v>1866639</v>
      </c>
      <c r="F217" s="3" t="n">
        <v>2023</v>
      </c>
    </row>
    <row r="218" customFormat="false" ht="15" hidden="false" customHeight="false" outlineLevel="0" collapsed="false">
      <c r="A218" s="5" t="n">
        <v>287</v>
      </c>
      <c r="B218" s="5" t="s">
        <v>437</v>
      </c>
      <c r="C218" s="5" t="s">
        <v>438</v>
      </c>
      <c r="D218" s="6" t="n">
        <v>2084191</v>
      </c>
      <c r="E218" s="6" t="n">
        <v>1995565</v>
      </c>
      <c r="F218" s="5" t="n">
        <v>2023</v>
      </c>
    </row>
    <row r="219" customFormat="false" ht="15" hidden="false" customHeight="false" outlineLevel="0" collapsed="false">
      <c r="A219" s="3" t="n">
        <v>288</v>
      </c>
      <c r="B219" s="3" t="s">
        <v>439</v>
      </c>
      <c r="C219" s="3" t="s">
        <v>440</v>
      </c>
      <c r="D219" s="4" t="n">
        <v>2048530</v>
      </c>
      <c r="E219" s="4" t="n">
        <v>1840692</v>
      </c>
      <c r="F219" s="3" t="n">
        <v>2024</v>
      </c>
    </row>
    <row r="220" customFormat="false" ht="15" hidden="false" customHeight="false" outlineLevel="0" collapsed="false">
      <c r="A220" s="5" t="n">
        <v>289</v>
      </c>
      <c r="B220" s="5" t="s">
        <v>441</v>
      </c>
      <c r="C220" s="5" t="s">
        <v>442</v>
      </c>
      <c r="D220" s="6" t="n">
        <v>2135407</v>
      </c>
      <c r="E220" s="6" t="n">
        <v>2004108</v>
      </c>
      <c r="F220" s="5" t="n">
        <v>2024</v>
      </c>
    </row>
    <row r="221" customFormat="false" ht="15" hidden="false" customHeight="false" outlineLevel="0" collapsed="false">
      <c r="A221" s="3" t="n">
        <v>290</v>
      </c>
      <c r="B221" s="3" t="s">
        <v>443</v>
      </c>
      <c r="C221" s="3" t="s">
        <v>444</v>
      </c>
      <c r="D221" s="4" t="n">
        <v>2001225</v>
      </c>
      <c r="E221" s="4" t="n">
        <v>2275859</v>
      </c>
      <c r="F221" s="3" t="n">
        <v>2024</v>
      </c>
    </row>
    <row r="222" customFormat="false" ht="15" hidden="false" customHeight="false" outlineLevel="0" collapsed="false">
      <c r="A222" s="5" t="n">
        <v>291</v>
      </c>
      <c r="B222" s="5" t="s">
        <v>445</v>
      </c>
      <c r="C222" s="5" t="s">
        <v>446</v>
      </c>
      <c r="D222" s="6" t="n">
        <v>2051268</v>
      </c>
      <c r="E222" s="6" t="n">
        <v>2150333</v>
      </c>
      <c r="F222" s="5" t="n">
        <v>2024</v>
      </c>
    </row>
    <row r="223" customFormat="false" ht="15" hidden="false" customHeight="false" outlineLevel="0" collapsed="false">
      <c r="A223" s="3" t="n">
        <v>292</v>
      </c>
      <c r="B223" s="3" t="s">
        <v>447</v>
      </c>
      <c r="C223" s="3" t="s">
        <v>448</v>
      </c>
      <c r="D223" s="4" t="n">
        <v>2115632</v>
      </c>
      <c r="E223" s="4" t="n">
        <v>2267456</v>
      </c>
      <c r="F223" s="3" t="n">
        <v>2024</v>
      </c>
    </row>
    <row r="224" customFormat="false" ht="15" hidden="false" customHeight="false" outlineLevel="0" collapsed="false">
      <c r="A224" s="5" t="n">
        <v>293</v>
      </c>
      <c r="B224" s="5" t="s">
        <v>449</v>
      </c>
      <c r="C224" s="5" t="s">
        <v>450</v>
      </c>
      <c r="D224" s="6" t="n">
        <v>2021445</v>
      </c>
      <c r="E224" s="6" t="n">
        <v>2040286</v>
      </c>
      <c r="F224" s="5" t="n">
        <v>2024</v>
      </c>
    </row>
    <row r="225" customFormat="false" ht="15" hidden="false" customHeight="false" outlineLevel="0" collapsed="false">
      <c r="A225" s="3" t="n">
        <v>294</v>
      </c>
      <c r="B225" s="3" t="s">
        <v>451</v>
      </c>
      <c r="C225" s="3" t="s">
        <v>452</v>
      </c>
      <c r="D225" s="4" t="n">
        <v>2153239</v>
      </c>
      <c r="E225" s="4" t="n">
        <v>2222395</v>
      </c>
      <c r="F225" s="3" t="n">
        <v>2024</v>
      </c>
    </row>
    <row r="226" customFormat="false" ht="15" hidden="false" customHeight="false" outlineLevel="0" collapsed="false">
      <c r="A226" s="5" t="n">
        <v>295</v>
      </c>
      <c r="B226" s="5" t="s">
        <v>453</v>
      </c>
      <c r="C226" s="5" t="s">
        <v>454</v>
      </c>
      <c r="D226" s="6" t="n">
        <v>2131797</v>
      </c>
      <c r="E226" s="6" t="n">
        <v>2253304</v>
      </c>
      <c r="F226" s="5" t="n">
        <v>2024</v>
      </c>
    </row>
    <row r="227" customFormat="false" ht="15" hidden="false" customHeight="false" outlineLevel="0" collapsed="false">
      <c r="A227" s="3" t="n">
        <v>296</v>
      </c>
      <c r="B227" s="3" t="s">
        <v>455</v>
      </c>
      <c r="C227" s="3" t="s">
        <v>456</v>
      </c>
      <c r="D227" s="4" t="n">
        <v>2069864</v>
      </c>
      <c r="E227" s="4" t="n">
        <v>2004057</v>
      </c>
      <c r="F227" s="3" t="n">
        <v>2024</v>
      </c>
    </row>
    <row r="228" customFormat="false" ht="15" hidden="false" customHeight="false" outlineLevel="0" collapsed="false">
      <c r="A228" s="5" t="n">
        <v>297</v>
      </c>
      <c r="B228" s="5" t="s">
        <v>457</v>
      </c>
      <c r="C228" s="5" t="s">
        <v>458</v>
      </c>
      <c r="D228" s="6" t="n">
        <v>2193169</v>
      </c>
      <c r="E228" s="6" t="n">
        <v>2106057</v>
      </c>
      <c r="F228" s="5" t="n">
        <v>2024</v>
      </c>
    </row>
    <row r="229" customFormat="false" ht="15" hidden="false" customHeight="false" outlineLevel="0" collapsed="false">
      <c r="A229" s="3" t="n">
        <v>298</v>
      </c>
      <c r="B229" s="3" t="s">
        <v>459</v>
      </c>
      <c r="C229" s="3" t="s">
        <v>460</v>
      </c>
      <c r="D229" s="4" t="n">
        <v>2233965</v>
      </c>
      <c r="E229" s="4" t="n">
        <v>2056307</v>
      </c>
      <c r="F229" s="3" t="n">
        <v>2024</v>
      </c>
    </row>
    <row r="230" customFormat="false" ht="15" hidden="false" customHeight="false" outlineLevel="0" collapsed="false">
      <c r="A230" s="5" t="n">
        <v>299</v>
      </c>
      <c r="B230" s="5" t="s">
        <v>461</v>
      </c>
      <c r="C230" s="5" t="s">
        <v>462</v>
      </c>
      <c r="D230" s="6" t="n">
        <v>2235734</v>
      </c>
      <c r="E230" s="6" t="n">
        <v>2144938</v>
      </c>
      <c r="F230" s="5" t="n">
        <v>2024</v>
      </c>
    </row>
    <row r="231" customFormat="false" ht="15" hidden="false" customHeight="false" outlineLevel="0" collapsed="false">
      <c r="A231" s="3" t="n">
        <v>300</v>
      </c>
      <c r="B231" s="3" t="s">
        <v>463</v>
      </c>
      <c r="C231" s="3" t="s">
        <v>464</v>
      </c>
      <c r="D231" s="4" t="n">
        <v>2135146</v>
      </c>
      <c r="E231" s="4" t="n">
        <v>1922359</v>
      </c>
      <c r="F231" s="3" t="n">
        <v>2025</v>
      </c>
    </row>
    <row r="232" customFormat="false" ht="15" hidden="false" customHeight="false" outlineLevel="0" collapsed="false">
      <c r="A232" s="5" t="n">
        <v>301</v>
      </c>
      <c r="B232" s="5" t="s">
        <v>465</v>
      </c>
      <c r="C232" s="5" t="s">
        <v>466</v>
      </c>
      <c r="D232" s="6" t="n">
        <v>2098600</v>
      </c>
      <c r="E232" s="6" t="n">
        <v>1973323</v>
      </c>
      <c r="F232" s="5" t="n">
        <v>2025</v>
      </c>
    </row>
    <row r="233" customFormat="false" ht="15" hidden="false" customHeight="false" outlineLevel="0" collapsed="false">
      <c r="A233" s="3" t="n">
        <v>302</v>
      </c>
      <c r="B233" s="3" t="s">
        <v>467</v>
      </c>
      <c r="C233" s="3" t="s">
        <v>468</v>
      </c>
      <c r="D233" s="4" t="n">
        <v>2252586</v>
      </c>
      <c r="E233" s="4" t="n">
        <v>2554813</v>
      </c>
      <c r="F233" s="3" t="n">
        <v>2025</v>
      </c>
    </row>
    <row r="234" customFormat="false" ht="15" hidden="false" customHeight="false" outlineLevel="0" collapsed="false">
      <c r="A234" s="5" t="n">
        <v>303</v>
      </c>
      <c r="B234" s="5" t="s">
        <v>469</v>
      </c>
      <c r="C234" s="5" t="s">
        <v>470</v>
      </c>
      <c r="D234" s="6" t="n">
        <v>2255028</v>
      </c>
      <c r="E234" s="6" t="n">
        <v>2359636</v>
      </c>
      <c r="F234" s="5" t="n">
        <v>2025</v>
      </c>
    </row>
    <row r="235" customFormat="false" ht="15" hidden="false" customHeight="false" outlineLevel="0" collapsed="false">
      <c r="A235" s="3" t="n">
        <v>304</v>
      </c>
      <c r="B235" s="3" t="s">
        <v>471</v>
      </c>
      <c r="C235" s="3" t="s">
        <v>472</v>
      </c>
      <c r="D235" s="4" t="n">
        <v>2136563</v>
      </c>
      <c r="E235" s="4" t="n">
        <v>2293128</v>
      </c>
      <c r="F235" s="3" t="n">
        <v>2025</v>
      </c>
    </row>
    <row r="236" customFormat="false" ht="15" hidden="false" customHeight="false" outlineLevel="0" collapsed="false">
      <c r="A236" s="5" t="n">
        <v>305</v>
      </c>
      <c r="B236" s="5" t="s">
        <v>473</v>
      </c>
      <c r="C236" s="5" t="s">
        <v>474</v>
      </c>
      <c r="D236" s="6" t="n">
        <v>2135149</v>
      </c>
      <c r="E236" s="6" t="n">
        <v>2146065</v>
      </c>
      <c r="F236" s="5" t="n">
        <v>2025</v>
      </c>
    </row>
    <row r="237" customFormat="false" ht="15" hidden="false" customHeight="false" outlineLevel="0" collapsed="false">
      <c r="A237" s="3" t="n">
        <v>306</v>
      </c>
      <c r="B237" s="3" t="s">
        <v>475</v>
      </c>
      <c r="C237" s="3" t="s">
        <v>476</v>
      </c>
      <c r="D237" s="4" t="n">
        <v>2208794</v>
      </c>
      <c r="E237" s="4" t="n">
        <v>2283277</v>
      </c>
      <c r="F237" s="3" t="n">
        <v>2025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477</v>
      </c>
      <c r="B1" s="1"/>
      <c r="C1" s="1"/>
      <c r="D1" s="1"/>
      <c r="E1" s="1"/>
      <c r="F1" s="1"/>
    </row>
    <row r="2" customFormat="false" ht="26.85" hidden="false" customHeight="false" outlineLevel="0" collapsed="false">
      <c r="A2" s="2" t="s">
        <v>6</v>
      </c>
      <c r="B2" s="2" t="s">
        <v>478</v>
      </c>
      <c r="C2" s="2" t="s">
        <v>479</v>
      </c>
      <c r="D2" s="2" t="s">
        <v>480</v>
      </c>
      <c r="E2" s="2" t="s">
        <v>481</v>
      </c>
      <c r="F2" s="2" t="s">
        <v>482</v>
      </c>
    </row>
    <row r="3" customFormat="false" ht="15" hidden="false" customHeight="false" outlineLevel="0" collapsed="false">
      <c r="A3" s="3" t="n">
        <v>2006</v>
      </c>
      <c r="B3" s="4" t="n">
        <v>22476400</v>
      </c>
      <c r="C3" s="4" t="n">
        <v>22470871</v>
      </c>
      <c r="D3" s="4" t="n">
        <v>1873033</v>
      </c>
      <c r="E3" s="3" t="s">
        <v>483</v>
      </c>
      <c r="F3" s="3" t="n">
        <v>12</v>
      </c>
    </row>
    <row r="4" customFormat="false" ht="15" hidden="false" customHeight="false" outlineLevel="0" collapsed="false">
      <c r="A4" s="5" t="n">
        <v>2007</v>
      </c>
      <c r="B4" s="6" t="n">
        <v>22518115</v>
      </c>
      <c r="C4" s="6" t="n">
        <v>22513928</v>
      </c>
      <c r="D4" s="6" t="n">
        <v>1876510</v>
      </c>
      <c r="E4" s="7" t="n">
        <f aca="false">(B4-B3)/B3</f>
        <v>0.00185594668185297</v>
      </c>
      <c r="F4" s="5" t="n">
        <v>12</v>
      </c>
    </row>
    <row r="5" customFormat="false" ht="15" hidden="false" customHeight="false" outlineLevel="0" collapsed="false">
      <c r="A5" s="3" t="n">
        <v>2008</v>
      </c>
      <c r="B5" s="4" t="n">
        <v>19329201</v>
      </c>
      <c r="C5" s="4" t="n">
        <v>19420297</v>
      </c>
      <c r="D5" s="4" t="n">
        <v>1610767</v>
      </c>
      <c r="E5" s="8" t="n">
        <f aca="false">(B5-B4)/B4</f>
        <v>-0.141615494902659</v>
      </c>
      <c r="F5" s="3" t="n">
        <v>12</v>
      </c>
    </row>
    <row r="6" customFormat="false" ht="15" hidden="false" customHeight="false" outlineLevel="0" collapsed="false">
      <c r="A6" s="5" t="n">
        <v>2009</v>
      </c>
      <c r="B6" s="6" t="n">
        <v>15627212</v>
      </c>
      <c r="C6" s="6" t="n">
        <v>15649047</v>
      </c>
      <c r="D6" s="6" t="n">
        <v>1302268</v>
      </c>
      <c r="E6" s="7" t="n">
        <f aca="false">(B6-B5)/B5</f>
        <v>-0.191523126072309</v>
      </c>
      <c r="F6" s="5" t="n">
        <v>12</v>
      </c>
    </row>
    <row r="7" customFormat="false" ht="15" hidden="false" customHeight="false" outlineLevel="0" collapsed="false">
      <c r="A7" s="3" t="n">
        <v>2010</v>
      </c>
      <c r="B7" s="4" t="n">
        <v>17939700</v>
      </c>
      <c r="C7" s="4" t="n">
        <v>17950913</v>
      </c>
      <c r="D7" s="4" t="n">
        <v>1494975</v>
      </c>
      <c r="E7" s="8" t="n">
        <f aca="false">(B7-B6)/B6</f>
        <v>0.147978283010431</v>
      </c>
      <c r="F7" s="3" t="n">
        <v>12</v>
      </c>
    </row>
    <row r="8" customFormat="false" ht="15" hidden="false" customHeight="false" outlineLevel="0" collapsed="false">
      <c r="A8" s="5" t="n">
        <v>2011</v>
      </c>
      <c r="B8" s="6" t="n">
        <v>20349986</v>
      </c>
      <c r="C8" s="6" t="n">
        <v>20324736</v>
      </c>
      <c r="D8" s="6" t="n">
        <v>1695832</v>
      </c>
      <c r="E8" s="7" t="n">
        <f aca="false">(B8-B7)/B7</f>
        <v>0.134354866580824</v>
      </c>
      <c r="F8" s="5" t="n">
        <v>12</v>
      </c>
    </row>
    <row r="9" customFormat="false" ht="15" hidden="false" customHeight="false" outlineLevel="0" collapsed="false">
      <c r="A9" s="3" t="n">
        <v>2012</v>
      </c>
      <c r="B9" s="4" t="n">
        <v>22778017</v>
      </c>
      <c r="C9" s="4" t="n">
        <v>22781182</v>
      </c>
      <c r="D9" s="4" t="n">
        <v>1898168</v>
      </c>
      <c r="E9" s="8" t="n">
        <f aca="false">(B9-B8)/B8</f>
        <v>0.11931364473666</v>
      </c>
      <c r="F9" s="3" t="n">
        <v>12</v>
      </c>
    </row>
    <row r="10" customFormat="false" ht="15" hidden="false" customHeight="false" outlineLevel="0" collapsed="false">
      <c r="A10" s="5" t="n">
        <v>2013</v>
      </c>
      <c r="B10" s="6" t="n">
        <v>24859518</v>
      </c>
      <c r="C10" s="6" t="n">
        <v>24874757</v>
      </c>
      <c r="D10" s="6" t="n">
        <v>2071626</v>
      </c>
      <c r="E10" s="7" t="n">
        <f aca="false">(B10-B9)/B9</f>
        <v>0.0913820109977089</v>
      </c>
      <c r="F10" s="5" t="n">
        <v>12</v>
      </c>
    </row>
    <row r="11" customFormat="false" ht="15" hidden="false" customHeight="false" outlineLevel="0" collapsed="false">
      <c r="A11" s="3" t="n">
        <v>2014</v>
      </c>
      <c r="B11" s="4" t="n">
        <v>26247841</v>
      </c>
      <c r="C11" s="4" t="n">
        <v>26264240</v>
      </c>
      <c r="D11" s="4" t="n">
        <v>2187320</v>
      </c>
      <c r="E11" s="8" t="n">
        <f aca="false">(B11-B10)/B10</f>
        <v>0.0558467384604963</v>
      </c>
      <c r="F11" s="3" t="n">
        <v>12</v>
      </c>
    </row>
    <row r="12" customFormat="false" ht="15" hidden="false" customHeight="false" outlineLevel="0" collapsed="false">
      <c r="A12" s="5" t="n">
        <v>2015</v>
      </c>
      <c r="B12" s="6" t="n">
        <v>27832893</v>
      </c>
      <c r="C12" s="6" t="n">
        <v>27854923</v>
      </c>
      <c r="D12" s="6" t="n">
        <v>2319408</v>
      </c>
      <c r="E12" s="7" t="n">
        <f aca="false">(B12-B11)/B11</f>
        <v>0.0603879000943354</v>
      </c>
      <c r="F12" s="5" t="n">
        <v>12</v>
      </c>
    </row>
    <row r="13" customFormat="false" ht="15" hidden="false" customHeight="false" outlineLevel="0" collapsed="false">
      <c r="A13" s="3" t="n">
        <v>2016</v>
      </c>
      <c r="B13" s="4" t="n">
        <v>28374071</v>
      </c>
      <c r="C13" s="4" t="n">
        <v>28364482</v>
      </c>
      <c r="D13" s="4" t="n">
        <v>2364506</v>
      </c>
      <c r="E13" s="8" t="n">
        <f aca="false">(B13-B12)/B12</f>
        <v>0.0194438285664376</v>
      </c>
      <c r="F13" s="3" t="n">
        <v>12</v>
      </c>
    </row>
    <row r="14" customFormat="false" ht="15" hidden="false" customHeight="false" outlineLevel="0" collapsed="false">
      <c r="A14" s="5" t="n">
        <v>2017</v>
      </c>
      <c r="B14" s="6" t="n">
        <v>27823592</v>
      </c>
      <c r="C14" s="6" t="n">
        <v>27816859</v>
      </c>
      <c r="D14" s="6" t="n">
        <v>2318633</v>
      </c>
      <c r="E14" s="7" t="n">
        <f aca="false">(B14-B13)/B13</f>
        <v>-0.0194007761522835</v>
      </c>
      <c r="F14" s="5" t="n">
        <v>12</v>
      </c>
    </row>
    <row r="15" customFormat="false" ht="15" hidden="false" customHeight="false" outlineLevel="0" collapsed="false">
      <c r="A15" s="3" t="n">
        <v>2018</v>
      </c>
      <c r="B15" s="4" t="n">
        <v>28274432</v>
      </c>
      <c r="C15" s="4" t="n">
        <v>28262280</v>
      </c>
      <c r="D15" s="4" t="n">
        <v>2356203</v>
      </c>
      <c r="E15" s="8" t="n">
        <f aca="false">(B15-B14)/B14</f>
        <v>0.0162035153476949</v>
      </c>
      <c r="F15" s="3" t="n">
        <v>12</v>
      </c>
    </row>
    <row r="16" customFormat="false" ht="15" hidden="false" customHeight="false" outlineLevel="0" collapsed="false">
      <c r="A16" s="5" t="n">
        <v>2019</v>
      </c>
      <c r="B16" s="6" t="n">
        <v>29134178</v>
      </c>
      <c r="C16" s="6" t="n">
        <v>29111460</v>
      </c>
      <c r="D16" s="6" t="n">
        <v>2427848</v>
      </c>
      <c r="E16" s="7" t="n">
        <f aca="false">(B16-B15)/B15</f>
        <v>0.030407189081641</v>
      </c>
      <c r="F16" s="5" t="n">
        <v>12</v>
      </c>
    </row>
    <row r="17" customFormat="false" ht="15" hidden="false" customHeight="false" outlineLevel="0" collapsed="false">
      <c r="A17" s="3" t="n">
        <v>2020</v>
      </c>
      <c r="B17" s="4" t="n">
        <v>27825122</v>
      </c>
      <c r="C17" s="4" t="n">
        <v>27671262</v>
      </c>
      <c r="D17" s="4" t="n">
        <v>2318760</v>
      </c>
      <c r="E17" s="8" t="n">
        <f aca="false">(B17-B16)/B16</f>
        <v>-0.0449319695925521</v>
      </c>
      <c r="F17" s="3" t="n">
        <v>12</v>
      </c>
    </row>
    <row r="18" customFormat="false" ht="15" hidden="false" customHeight="false" outlineLevel="0" collapsed="false">
      <c r="A18" s="5" t="n">
        <v>2021</v>
      </c>
      <c r="B18" s="6" t="n">
        <v>30410142</v>
      </c>
      <c r="C18" s="6" t="n">
        <v>30477142</v>
      </c>
      <c r="D18" s="6" t="n">
        <v>2534178</v>
      </c>
      <c r="E18" s="7" t="n">
        <f aca="false">(B18-B17)/B17</f>
        <v>0.0929023779302747</v>
      </c>
      <c r="F18" s="5" t="n">
        <v>12</v>
      </c>
    </row>
    <row r="19" customFormat="false" ht="15" hidden="false" customHeight="false" outlineLevel="0" collapsed="false">
      <c r="A19" s="3" t="n">
        <v>2022</v>
      </c>
      <c r="B19" s="4" t="n">
        <v>26598179</v>
      </c>
      <c r="C19" s="4" t="n">
        <v>26616801</v>
      </c>
      <c r="D19" s="4" t="n">
        <v>2216515</v>
      </c>
      <c r="E19" s="8" t="n">
        <f aca="false">(B19-B18)/B18</f>
        <v>-0.125351700100578</v>
      </c>
      <c r="F19" s="3" t="n">
        <v>12</v>
      </c>
    </row>
    <row r="20" customFormat="false" ht="15" hidden="false" customHeight="false" outlineLevel="0" collapsed="false">
      <c r="A20" s="5" t="n">
        <v>2023</v>
      </c>
      <c r="B20" s="6" t="n">
        <v>24671659</v>
      </c>
      <c r="C20" s="6" t="n">
        <v>24655945</v>
      </c>
      <c r="D20" s="6" t="n">
        <v>2055972</v>
      </c>
      <c r="E20" s="7" t="n">
        <f aca="false">(B20-B19)/B19</f>
        <v>-0.072430522405312</v>
      </c>
      <c r="F20" s="5" t="n">
        <v>12</v>
      </c>
    </row>
    <row r="21" customFormat="false" ht="15" hidden="false" customHeight="false" outlineLevel="0" collapsed="false">
      <c r="A21" s="3" t="n">
        <v>2024</v>
      </c>
      <c r="B21" s="4" t="n">
        <v>25391275</v>
      </c>
      <c r="C21" s="4" t="n">
        <v>25365790</v>
      </c>
      <c r="D21" s="4" t="n">
        <v>2115940</v>
      </c>
      <c r="E21" s="8" t="n">
        <f aca="false">(B21-B20)/B20</f>
        <v>0.0291677183119303</v>
      </c>
      <c r="F21" s="3" t="n">
        <v>12</v>
      </c>
    </row>
    <row r="22" customFormat="false" ht="15" hidden="false" customHeight="false" outlineLevel="0" collapsed="false">
      <c r="A22" s="5" t="n">
        <v>2025</v>
      </c>
      <c r="B22" s="6" t="n">
        <v>15221865</v>
      </c>
      <c r="C22" s="6" t="n">
        <v>15532600</v>
      </c>
      <c r="D22" s="6" t="n">
        <v>2174552</v>
      </c>
      <c r="E22" s="7" t="n">
        <f aca="false">(B22-B21)/B21</f>
        <v>-0.400508048532419</v>
      </c>
      <c r="F22" s="5" t="n">
        <v>7</v>
      </c>
    </row>
    <row r="23" customFormat="false" ht="15" hidden="false" customHeight="false" outlineLevel="0" collapsed="false">
      <c r="A23" s="9" t="s">
        <v>484</v>
      </c>
      <c r="B23" s="10" t="n">
        <f aca="false">SUM(B3:B22)</f>
        <v>483683398</v>
      </c>
      <c r="C23" s="10" t="n">
        <f aca="false">SUM(C3:C22)</f>
        <v>483979515</v>
      </c>
      <c r="D23" s="10" t="n">
        <f aca="false">AVERAGE(D3:D22)</f>
        <v>2060650.7</v>
      </c>
      <c r="E23" s="9"/>
      <c r="F23" s="9" t="n">
        <f aca="false">SUM(F3:F22)</f>
        <v>235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485</v>
      </c>
      <c r="B1" s="1"/>
      <c r="C1" s="1"/>
      <c r="D1" s="1"/>
    </row>
    <row r="2" customFormat="false" ht="15" hidden="false" customHeight="false" outlineLevel="0" collapsed="false">
      <c r="A2" s="2" t="s">
        <v>2</v>
      </c>
      <c r="B2" s="2" t="s">
        <v>3</v>
      </c>
      <c r="C2" s="2" t="s">
        <v>486</v>
      </c>
      <c r="D2" s="2" t="s">
        <v>487</v>
      </c>
    </row>
    <row r="3" customFormat="false" ht="15" hidden="false" customHeight="false" outlineLevel="0" collapsed="false">
      <c r="A3" s="3" t="s">
        <v>7</v>
      </c>
      <c r="B3" s="3" t="s">
        <v>8</v>
      </c>
      <c r="C3" s="4" t="n">
        <v>1876300</v>
      </c>
      <c r="D3" s="4" t="n">
        <v>1647458</v>
      </c>
    </row>
    <row r="4" customFormat="false" ht="15" hidden="false" customHeight="false" outlineLevel="0" collapsed="false">
      <c r="A4" s="5" t="s">
        <v>9</v>
      </c>
      <c r="B4" s="5" t="s">
        <v>10</v>
      </c>
      <c r="C4" s="6" t="n">
        <v>1803623</v>
      </c>
      <c r="D4" s="6" t="n">
        <v>1679287</v>
      </c>
    </row>
    <row r="5" customFormat="false" ht="15" hidden="false" customHeight="false" outlineLevel="0" collapsed="false">
      <c r="A5" s="3" t="s">
        <v>11</v>
      </c>
      <c r="B5" s="3" t="s">
        <v>12</v>
      </c>
      <c r="C5" s="4" t="n">
        <v>1865094</v>
      </c>
      <c r="D5" s="4" t="n">
        <v>2053148</v>
      </c>
    </row>
    <row r="6" customFormat="false" ht="15" hidden="false" customHeight="false" outlineLevel="0" collapsed="false">
      <c r="A6" s="5" t="s">
        <v>13</v>
      </c>
      <c r="B6" s="5" t="s">
        <v>14</v>
      </c>
      <c r="C6" s="6" t="n">
        <v>1823708</v>
      </c>
      <c r="D6" s="6" t="n">
        <v>1886143</v>
      </c>
    </row>
    <row r="7" customFormat="false" ht="15" hidden="false" customHeight="false" outlineLevel="0" collapsed="false">
      <c r="A7" s="3" t="s">
        <v>15</v>
      </c>
      <c r="B7" s="3" t="s">
        <v>16</v>
      </c>
      <c r="C7" s="4" t="n">
        <v>1827906</v>
      </c>
      <c r="D7" s="4" t="n">
        <v>2022892</v>
      </c>
    </row>
    <row r="8" customFormat="false" ht="15" hidden="false" customHeight="false" outlineLevel="0" collapsed="false">
      <c r="A8" s="5" t="s">
        <v>17</v>
      </c>
      <c r="B8" s="5" t="s">
        <v>18</v>
      </c>
      <c r="C8" s="6" t="n">
        <v>1876027</v>
      </c>
      <c r="D8" s="6" t="n">
        <v>2023555</v>
      </c>
    </row>
    <row r="9" customFormat="false" ht="15" hidden="false" customHeight="false" outlineLevel="0" collapsed="false">
      <c r="A9" s="3" t="s">
        <v>19</v>
      </c>
      <c r="B9" s="3" t="s">
        <v>20</v>
      </c>
      <c r="C9" s="4" t="n">
        <v>1888816</v>
      </c>
      <c r="D9" s="4" t="n">
        <v>2088567</v>
      </c>
    </row>
    <row r="10" customFormat="false" ht="15" hidden="false" customHeight="false" outlineLevel="0" collapsed="false">
      <c r="A10" s="5" t="s">
        <v>21</v>
      </c>
      <c r="B10" s="5" t="s">
        <v>22</v>
      </c>
      <c r="C10" s="6" t="n">
        <v>1907666</v>
      </c>
      <c r="D10" s="6" t="n">
        <v>2113242</v>
      </c>
    </row>
    <row r="11" customFormat="false" ht="15" hidden="false" customHeight="false" outlineLevel="0" collapsed="false">
      <c r="A11" s="3" t="s">
        <v>23</v>
      </c>
      <c r="B11" s="3" t="s">
        <v>24</v>
      </c>
      <c r="C11" s="4" t="n">
        <v>1888992</v>
      </c>
      <c r="D11" s="4" t="n">
        <v>1837141</v>
      </c>
    </row>
    <row r="12" customFormat="false" ht="15" hidden="false" customHeight="false" outlineLevel="0" collapsed="false">
      <c r="A12" s="5" t="s">
        <v>25</v>
      </c>
      <c r="B12" s="5" t="s">
        <v>26</v>
      </c>
      <c r="C12" s="6" t="n">
        <v>1933212</v>
      </c>
      <c r="D12" s="6" t="n">
        <v>1757858</v>
      </c>
    </row>
    <row r="13" customFormat="false" ht="15" hidden="false" customHeight="false" outlineLevel="0" collapsed="false">
      <c r="A13" s="3" t="s">
        <v>27</v>
      </c>
      <c r="B13" s="3" t="s">
        <v>28</v>
      </c>
      <c r="C13" s="4" t="n">
        <v>1904733</v>
      </c>
      <c r="D13" s="4" t="n">
        <v>1666851</v>
      </c>
    </row>
    <row r="14" customFormat="false" ht="15" hidden="false" customHeight="false" outlineLevel="0" collapsed="false">
      <c r="A14" s="5" t="s">
        <v>29</v>
      </c>
      <c r="B14" s="5" t="s">
        <v>30</v>
      </c>
      <c r="C14" s="6" t="n">
        <v>1880324</v>
      </c>
      <c r="D14" s="6" t="n">
        <v>1694729</v>
      </c>
    </row>
    <row r="15" customFormat="false" ht="15" hidden="false" customHeight="false" outlineLevel="0" collapsed="false">
      <c r="A15" s="3" t="s">
        <v>31</v>
      </c>
      <c r="B15" s="3" t="s">
        <v>32</v>
      </c>
      <c r="C15" s="4" t="n">
        <v>1882256</v>
      </c>
      <c r="D15" s="4" t="n">
        <v>1649845</v>
      </c>
    </row>
    <row r="16" customFormat="false" ht="15" hidden="false" customHeight="false" outlineLevel="0" collapsed="false">
      <c r="A16" s="5" t="s">
        <v>33</v>
      </c>
      <c r="B16" s="5" t="s">
        <v>34</v>
      </c>
      <c r="C16" s="6" t="n">
        <v>1883299</v>
      </c>
      <c r="D16" s="6" t="n">
        <v>1756417</v>
      </c>
    </row>
    <row r="17" customFormat="false" ht="15" hidden="false" customHeight="false" outlineLevel="0" collapsed="false">
      <c r="A17" s="3" t="s">
        <v>35</v>
      </c>
      <c r="B17" s="3" t="s">
        <v>36</v>
      </c>
      <c r="C17" s="4" t="n">
        <v>1890413</v>
      </c>
      <c r="D17" s="4" t="n">
        <v>2082136</v>
      </c>
    </row>
    <row r="18" customFormat="false" ht="15" hidden="false" customHeight="false" outlineLevel="0" collapsed="false">
      <c r="A18" s="5" t="s">
        <v>37</v>
      </c>
      <c r="B18" s="5" t="s">
        <v>38</v>
      </c>
      <c r="C18" s="6" t="n">
        <v>1849416</v>
      </c>
      <c r="D18" s="6" t="n">
        <v>1915633</v>
      </c>
    </row>
    <row r="19" customFormat="false" ht="15" hidden="false" customHeight="false" outlineLevel="0" collapsed="false">
      <c r="A19" s="3" t="s">
        <v>39</v>
      </c>
      <c r="B19" s="3" t="s">
        <v>40</v>
      </c>
      <c r="C19" s="4" t="n">
        <v>1900419</v>
      </c>
      <c r="D19" s="4" t="n">
        <v>2094140</v>
      </c>
    </row>
    <row r="20" customFormat="false" ht="15" hidden="false" customHeight="false" outlineLevel="0" collapsed="false">
      <c r="A20" s="5" t="s">
        <v>41</v>
      </c>
      <c r="B20" s="5" t="s">
        <v>42</v>
      </c>
      <c r="C20" s="6" t="n">
        <v>1844264</v>
      </c>
      <c r="D20" s="6" t="n">
        <v>1986626</v>
      </c>
    </row>
    <row r="21" customFormat="false" ht="15" hidden="false" customHeight="false" outlineLevel="0" collapsed="false">
      <c r="A21" s="3" t="s">
        <v>43</v>
      </c>
      <c r="B21" s="3" t="s">
        <v>44</v>
      </c>
      <c r="C21" s="4" t="n">
        <v>1838538</v>
      </c>
      <c r="D21" s="4" t="n">
        <v>2035278</v>
      </c>
    </row>
    <row r="22" customFormat="false" ht="15" hidden="false" customHeight="false" outlineLevel="0" collapsed="false">
      <c r="A22" s="5" t="s">
        <v>45</v>
      </c>
      <c r="B22" s="5" t="s">
        <v>46</v>
      </c>
      <c r="C22" s="6" t="n">
        <v>1874385</v>
      </c>
      <c r="D22" s="6" t="n">
        <v>2072247</v>
      </c>
    </row>
    <row r="23" customFormat="false" ht="15" hidden="false" customHeight="false" outlineLevel="0" collapsed="false">
      <c r="A23" s="3" t="s">
        <v>47</v>
      </c>
      <c r="B23" s="3" t="s">
        <v>48</v>
      </c>
      <c r="C23" s="4" t="n">
        <v>1846389</v>
      </c>
      <c r="D23" s="4" t="n">
        <v>1796309</v>
      </c>
    </row>
    <row r="24" customFormat="false" ht="15" hidden="false" customHeight="false" outlineLevel="0" collapsed="false">
      <c r="A24" s="5" t="s">
        <v>49</v>
      </c>
      <c r="B24" s="5" t="s">
        <v>50</v>
      </c>
      <c r="C24" s="6" t="n">
        <v>1995345</v>
      </c>
      <c r="D24" s="6" t="n">
        <v>1818401</v>
      </c>
    </row>
    <row r="25" customFormat="false" ht="15" hidden="false" customHeight="false" outlineLevel="0" collapsed="false">
      <c r="A25" s="3" t="s">
        <v>51</v>
      </c>
      <c r="B25" s="3" t="s">
        <v>52</v>
      </c>
      <c r="C25" s="4" t="n">
        <v>1883235</v>
      </c>
      <c r="D25" s="4" t="n">
        <v>1649535</v>
      </c>
    </row>
    <row r="26" customFormat="false" ht="15" hidden="false" customHeight="false" outlineLevel="0" collapsed="false">
      <c r="A26" s="5" t="s">
        <v>53</v>
      </c>
      <c r="B26" s="5" t="s">
        <v>54</v>
      </c>
      <c r="C26" s="6" t="n">
        <v>1830157</v>
      </c>
      <c r="D26" s="6" t="n">
        <v>1657362</v>
      </c>
    </row>
    <row r="27" customFormat="false" ht="15" hidden="false" customHeight="false" outlineLevel="0" collapsed="false">
      <c r="A27" s="3" t="s">
        <v>55</v>
      </c>
      <c r="B27" s="3" t="s">
        <v>56</v>
      </c>
      <c r="C27" s="4" t="n">
        <v>1840797</v>
      </c>
      <c r="D27" s="4" t="n">
        <v>1605802</v>
      </c>
    </row>
    <row r="28" customFormat="false" ht="15" hidden="false" customHeight="false" outlineLevel="0" collapsed="false">
      <c r="A28" s="5" t="s">
        <v>57</v>
      </c>
      <c r="B28" s="5" t="s">
        <v>58</v>
      </c>
      <c r="C28" s="6" t="n">
        <v>1850734</v>
      </c>
      <c r="D28" s="6" t="n">
        <v>1734125</v>
      </c>
    </row>
    <row r="29" customFormat="false" ht="15" hidden="false" customHeight="false" outlineLevel="0" collapsed="false">
      <c r="A29" s="3" t="s">
        <v>59</v>
      </c>
      <c r="B29" s="3" t="s">
        <v>60</v>
      </c>
      <c r="C29" s="4" t="n">
        <v>1772267</v>
      </c>
      <c r="D29" s="4" t="n">
        <v>1955535</v>
      </c>
    </row>
    <row r="30" customFormat="false" ht="15" hidden="false" customHeight="false" outlineLevel="0" collapsed="false">
      <c r="A30" s="5" t="s">
        <v>61</v>
      </c>
      <c r="B30" s="5" t="s">
        <v>62</v>
      </c>
      <c r="C30" s="6" t="n">
        <v>1807139</v>
      </c>
      <c r="D30" s="6" t="n">
        <v>1877913</v>
      </c>
    </row>
    <row r="31" customFormat="false" ht="15" hidden="false" customHeight="false" outlineLevel="0" collapsed="false">
      <c r="A31" s="3" t="s">
        <v>63</v>
      </c>
      <c r="B31" s="3" t="s">
        <v>64</v>
      </c>
      <c r="C31" s="4" t="n">
        <v>1770471</v>
      </c>
      <c r="D31" s="4" t="n">
        <v>1937399</v>
      </c>
    </row>
    <row r="32" customFormat="false" ht="15" hidden="false" customHeight="false" outlineLevel="0" collapsed="false">
      <c r="A32" s="5" t="s">
        <v>65</v>
      </c>
      <c r="B32" s="5" t="s">
        <v>66</v>
      </c>
      <c r="C32" s="6" t="n">
        <v>1687048</v>
      </c>
      <c r="D32" s="6" t="n">
        <v>1808803</v>
      </c>
    </row>
    <row r="33" customFormat="false" ht="15" hidden="false" customHeight="false" outlineLevel="0" collapsed="false">
      <c r="A33" s="3" t="s">
        <v>67</v>
      </c>
      <c r="B33" s="3" t="s">
        <v>68</v>
      </c>
      <c r="C33" s="4" t="n">
        <v>1595440</v>
      </c>
      <c r="D33" s="4" t="n">
        <v>1761678</v>
      </c>
    </row>
    <row r="34" customFormat="false" ht="15" hidden="false" customHeight="false" outlineLevel="0" collapsed="false">
      <c r="A34" s="5" t="s">
        <v>69</v>
      </c>
      <c r="B34" s="5" t="s">
        <v>70</v>
      </c>
      <c r="C34" s="6" t="n">
        <v>1536061</v>
      </c>
      <c r="D34" s="6" t="n">
        <v>1691935</v>
      </c>
    </row>
    <row r="35" customFormat="false" ht="15" hidden="false" customHeight="false" outlineLevel="0" collapsed="false">
      <c r="A35" s="3" t="s">
        <v>71</v>
      </c>
      <c r="B35" s="3" t="s">
        <v>72</v>
      </c>
      <c r="C35" s="4" t="n">
        <v>1497532</v>
      </c>
      <c r="D35" s="4" t="n">
        <v>1459667</v>
      </c>
    </row>
    <row r="36" customFormat="false" ht="15" hidden="false" customHeight="false" outlineLevel="0" collapsed="false">
      <c r="A36" s="5" t="s">
        <v>73</v>
      </c>
      <c r="B36" s="5" t="s">
        <v>74</v>
      </c>
      <c r="C36" s="6" t="n">
        <v>1381864</v>
      </c>
      <c r="D36" s="6" t="n">
        <v>1264947</v>
      </c>
    </row>
    <row r="37" customFormat="false" ht="15" hidden="false" customHeight="false" outlineLevel="0" collapsed="false">
      <c r="A37" s="3" t="s">
        <v>75</v>
      </c>
      <c r="B37" s="3" t="s">
        <v>76</v>
      </c>
      <c r="C37" s="4" t="n">
        <v>1275569</v>
      </c>
      <c r="D37" s="4" t="n">
        <v>1121428</v>
      </c>
    </row>
    <row r="38" customFormat="false" ht="15" hidden="false" customHeight="false" outlineLevel="0" collapsed="false">
      <c r="A38" s="5" t="s">
        <v>77</v>
      </c>
      <c r="B38" s="5" t="s">
        <v>78</v>
      </c>
      <c r="C38" s="6" t="n">
        <v>1314278</v>
      </c>
      <c r="D38" s="6" t="n">
        <v>1201066</v>
      </c>
    </row>
    <row r="39" customFormat="false" ht="15" hidden="false" customHeight="false" outlineLevel="0" collapsed="false">
      <c r="A39" s="3" t="s">
        <v>79</v>
      </c>
      <c r="B39" s="3" t="s">
        <v>80</v>
      </c>
      <c r="C39" s="4" t="n">
        <v>1344364</v>
      </c>
      <c r="D39" s="4" t="n">
        <v>1165237</v>
      </c>
    </row>
    <row r="40" customFormat="false" ht="15" hidden="false" customHeight="false" outlineLevel="0" collapsed="false">
      <c r="A40" s="5" t="s">
        <v>81</v>
      </c>
      <c r="B40" s="5" t="s">
        <v>82</v>
      </c>
      <c r="C40" s="6" t="n">
        <v>1252793</v>
      </c>
      <c r="D40" s="6" t="n">
        <v>1179966</v>
      </c>
    </row>
    <row r="41" customFormat="false" ht="15" hidden="false" customHeight="false" outlineLevel="0" collapsed="false">
      <c r="A41" s="3" t="s">
        <v>83</v>
      </c>
      <c r="B41" s="3" t="s">
        <v>84</v>
      </c>
      <c r="C41" s="4" t="n">
        <v>1226997</v>
      </c>
      <c r="D41" s="4" t="n">
        <v>1358119</v>
      </c>
    </row>
    <row r="42" customFormat="false" ht="15" hidden="false" customHeight="false" outlineLevel="0" collapsed="false">
      <c r="A42" s="5" t="s">
        <v>85</v>
      </c>
      <c r="B42" s="5" t="s">
        <v>86</v>
      </c>
      <c r="C42" s="6" t="n">
        <v>1221675</v>
      </c>
      <c r="D42" s="6" t="n">
        <v>1274228</v>
      </c>
    </row>
    <row r="43" customFormat="false" ht="15" hidden="false" customHeight="false" outlineLevel="0" collapsed="false">
      <c r="A43" s="3" t="s">
        <v>87</v>
      </c>
      <c r="B43" s="3" t="s">
        <v>88</v>
      </c>
      <c r="C43" s="4" t="n">
        <v>1239760</v>
      </c>
      <c r="D43" s="4" t="n">
        <v>1345654</v>
      </c>
    </row>
    <row r="44" customFormat="false" ht="15" hidden="false" customHeight="false" outlineLevel="0" collapsed="false">
      <c r="A44" s="5" t="s">
        <v>89</v>
      </c>
      <c r="B44" s="5" t="s">
        <v>90</v>
      </c>
      <c r="C44" s="6" t="n">
        <v>1293867</v>
      </c>
      <c r="D44" s="6" t="n">
        <v>1377320</v>
      </c>
    </row>
    <row r="45" customFormat="false" ht="15" hidden="false" customHeight="false" outlineLevel="0" collapsed="false">
      <c r="A45" s="3" t="s">
        <v>91</v>
      </c>
      <c r="B45" s="3" t="s">
        <v>92</v>
      </c>
      <c r="C45" s="4" t="n">
        <v>1348001</v>
      </c>
      <c r="D45" s="4" t="n">
        <v>1478459</v>
      </c>
    </row>
    <row r="46" customFormat="false" ht="15" hidden="false" customHeight="false" outlineLevel="0" collapsed="false">
      <c r="A46" s="5" t="s">
        <v>93</v>
      </c>
      <c r="B46" s="5" t="s">
        <v>94</v>
      </c>
      <c r="C46" s="6" t="n">
        <v>1563993</v>
      </c>
      <c r="D46" s="6" t="n">
        <v>1715057</v>
      </c>
    </row>
    <row r="47" customFormat="false" ht="15" hidden="false" customHeight="false" outlineLevel="0" collapsed="false">
      <c r="A47" s="3" t="s">
        <v>95</v>
      </c>
      <c r="B47" s="3" t="s">
        <v>96</v>
      </c>
      <c r="C47" s="4" t="n">
        <v>1205741</v>
      </c>
      <c r="D47" s="4" t="n">
        <v>1176732</v>
      </c>
    </row>
    <row r="48" customFormat="false" ht="15" hidden="false" customHeight="false" outlineLevel="0" collapsed="false">
      <c r="A48" s="5" t="s">
        <v>97</v>
      </c>
      <c r="B48" s="5" t="s">
        <v>98</v>
      </c>
      <c r="C48" s="6" t="n">
        <v>1295417</v>
      </c>
      <c r="D48" s="6" t="n">
        <v>1194037</v>
      </c>
    </row>
    <row r="49" customFormat="false" ht="15" hidden="false" customHeight="false" outlineLevel="0" collapsed="false">
      <c r="A49" s="3" t="s">
        <v>99</v>
      </c>
      <c r="B49" s="3" t="s">
        <v>100</v>
      </c>
      <c r="C49" s="4" t="n">
        <v>1289157</v>
      </c>
      <c r="D49" s="4" t="n">
        <v>1142305</v>
      </c>
    </row>
    <row r="50" customFormat="false" ht="15" hidden="false" customHeight="false" outlineLevel="0" collapsed="false">
      <c r="A50" s="5" t="s">
        <v>101</v>
      </c>
      <c r="B50" s="5" t="s">
        <v>102</v>
      </c>
      <c r="C50" s="6" t="n">
        <v>1345445</v>
      </c>
      <c r="D50" s="6" t="n">
        <v>1241935</v>
      </c>
    </row>
    <row r="51" customFormat="false" ht="15" hidden="false" customHeight="false" outlineLevel="0" collapsed="false">
      <c r="A51" s="3" t="s">
        <v>103</v>
      </c>
      <c r="B51" s="3" t="s">
        <v>104</v>
      </c>
      <c r="C51" s="4" t="n">
        <v>1324871</v>
      </c>
      <c r="D51" s="4" t="n">
        <v>1145046</v>
      </c>
    </row>
    <row r="52" customFormat="false" ht="15" hidden="false" customHeight="false" outlineLevel="0" collapsed="false">
      <c r="A52" s="5" t="s">
        <v>105</v>
      </c>
      <c r="B52" s="5" t="s">
        <v>106</v>
      </c>
      <c r="C52" s="6" t="n">
        <v>1285473</v>
      </c>
      <c r="D52" s="6" t="n">
        <v>1214864</v>
      </c>
    </row>
    <row r="53" customFormat="false" ht="15" hidden="false" customHeight="false" outlineLevel="0" collapsed="false">
      <c r="A53" s="3" t="s">
        <v>107</v>
      </c>
      <c r="B53" s="3" t="s">
        <v>108</v>
      </c>
      <c r="C53" s="4" t="n">
        <v>1487713</v>
      </c>
      <c r="D53" s="4" t="n">
        <v>1652707</v>
      </c>
    </row>
    <row r="54" customFormat="false" ht="15" hidden="false" customHeight="false" outlineLevel="0" collapsed="false">
      <c r="A54" s="5" t="s">
        <v>109</v>
      </c>
      <c r="B54" s="5" t="s">
        <v>110</v>
      </c>
      <c r="C54" s="6" t="n">
        <v>1455031</v>
      </c>
      <c r="D54" s="6" t="n">
        <v>1517985</v>
      </c>
    </row>
    <row r="55" customFormat="false" ht="15" hidden="false" customHeight="false" outlineLevel="0" collapsed="false">
      <c r="A55" s="3" t="s">
        <v>111</v>
      </c>
      <c r="B55" s="3" t="s">
        <v>112</v>
      </c>
      <c r="C55" s="4" t="n">
        <v>1435403</v>
      </c>
      <c r="D55" s="4" t="n">
        <v>1545186</v>
      </c>
    </row>
    <row r="56" customFormat="false" ht="15" hidden="false" customHeight="false" outlineLevel="0" collapsed="false">
      <c r="A56" s="5" t="s">
        <v>113</v>
      </c>
      <c r="B56" s="5" t="s">
        <v>114</v>
      </c>
      <c r="C56" s="6" t="n">
        <v>1487858</v>
      </c>
      <c r="D56" s="6" t="n">
        <v>1567771</v>
      </c>
    </row>
    <row r="57" customFormat="false" ht="15" hidden="false" customHeight="false" outlineLevel="0" collapsed="false">
      <c r="A57" s="3" t="s">
        <v>115</v>
      </c>
      <c r="B57" s="3" t="s">
        <v>116</v>
      </c>
      <c r="C57" s="4" t="n">
        <v>1522560</v>
      </c>
      <c r="D57" s="4" t="n">
        <v>1658728</v>
      </c>
    </row>
    <row r="58" customFormat="false" ht="15" hidden="false" customHeight="false" outlineLevel="0" collapsed="false">
      <c r="A58" s="5" t="s">
        <v>117</v>
      </c>
      <c r="B58" s="5" t="s">
        <v>118</v>
      </c>
      <c r="C58" s="6" t="n">
        <v>1506548</v>
      </c>
      <c r="D58" s="6" t="n">
        <v>1649328</v>
      </c>
    </row>
    <row r="59" customFormat="false" ht="15" hidden="false" customHeight="false" outlineLevel="0" collapsed="false">
      <c r="A59" s="3" t="s">
        <v>119</v>
      </c>
      <c r="B59" s="3" t="s">
        <v>120</v>
      </c>
      <c r="C59" s="4" t="n">
        <v>1555813</v>
      </c>
      <c r="D59" s="4" t="n">
        <v>1517957</v>
      </c>
    </row>
    <row r="60" customFormat="false" ht="15" hidden="false" customHeight="false" outlineLevel="0" collapsed="false">
      <c r="A60" s="5" t="s">
        <v>121</v>
      </c>
      <c r="B60" s="5" t="s">
        <v>122</v>
      </c>
      <c r="C60" s="6" t="n">
        <v>1614526</v>
      </c>
      <c r="D60" s="6" t="n">
        <v>1500876</v>
      </c>
    </row>
    <row r="61" customFormat="false" ht="15" hidden="false" customHeight="false" outlineLevel="0" collapsed="false">
      <c r="A61" s="3" t="s">
        <v>123</v>
      </c>
      <c r="B61" s="3" t="s">
        <v>124</v>
      </c>
      <c r="C61" s="4" t="n">
        <v>1616145</v>
      </c>
      <c r="D61" s="4" t="n">
        <v>1446304</v>
      </c>
    </row>
    <row r="62" customFormat="false" ht="15" hidden="false" customHeight="false" outlineLevel="0" collapsed="false">
      <c r="A62" s="5" t="s">
        <v>125</v>
      </c>
      <c r="B62" s="5" t="s">
        <v>126</v>
      </c>
      <c r="C62" s="6" t="n">
        <v>1647760</v>
      </c>
      <c r="D62" s="6" t="n">
        <v>1534160</v>
      </c>
    </row>
    <row r="63" customFormat="false" ht="15" hidden="false" customHeight="false" outlineLevel="0" collapsed="false">
      <c r="A63" s="3" t="s">
        <v>127</v>
      </c>
      <c r="B63" s="3" t="s">
        <v>128</v>
      </c>
      <c r="C63" s="4" t="n">
        <v>1632159</v>
      </c>
      <c r="D63" s="4" t="n">
        <v>1409573</v>
      </c>
    </row>
    <row r="64" customFormat="false" ht="15" hidden="false" customHeight="false" outlineLevel="0" collapsed="false">
      <c r="A64" s="5" t="s">
        <v>129</v>
      </c>
      <c r="B64" s="5" t="s">
        <v>130</v>
      </c>
      <c r="C64" s="6" t="n">
        <v>1670689</v>
      </c>
      <c r="D64" s="6" t="n">
        <v>1578620</v>
      </c>
    </row>
    <row r="65" customFormat="false" ht="15" hidden="false" customHeight="false" outlineLevel="0" collapsed="false">
      <c r="A65" s="3" t="s">
        <v>131</v>
      </c>
      <c r="B65" s="3" t="s">
        <v>132</v>
      </c>
      <c r="C65" s="4" t="n">
        <v>1686257</v>
      </c>
      <c r="D65" s="4" t="n">
        <v>1880184</v>
      </c>
    </row>
    <row r="66" customFormat="false" ht="15" hidden="false" customHeight="false" outlineLevel="0" collapsed="false">
      <c r="A66" s="5" t="s">
        <v>133</v>
      </c>
      <c r="B66" s="5" t="s">
        <v>134</v>
      </c>
      <c r="C66" s="6" t="n">
        <v>1661037</v>
      </c>
      <c r="D66" s="6" t="n">
        <v>1730308</v>
      </c>
    </row>
    <row r="67" customFormat="false" ht="15" hidden="false" customHeight="false" outlineLevel="0" collapsed="false">
      <c r="A67" s="3" t="s">
        <v>135</v>
      </c>
      <c r="B67" s="3" t="s">
        <v>136</v>
      </c>
      <c r="C67" s="4" t="n">
        <v>1607832</v>
      </c>
      <c r="D67" s="4" t="n">
        <v>1722780</v>
      </c>
    </row>
    <row r="68" customFormat="false" ht="15" hidden="false" customHeight="false" outlineLevel="0" collapsed="false">
      <c r="A68" s="5" t="s">
        <v>137</v>
      </c>
      <c r="B68" s="5" t="s">
        <v>138</v>
      </c>
      <c r="C68" s="6" t="n">
        <v>1626638</v>
      </c>
      <c r="D68" s="6" t="n">
        <v>1694947</v>
      </c>
    </row>
    <row r="69" customFormat="false" ht="15" hidden="false" customHeight="false" outlineLevel="0" collapsed="false">
      <c r="A69" s="3" t="s">
        <v>139</v>
      </c>
      <c r="B69" s="3" t="s">
        <v>140</v>
      </c>
      <c r="C69" s="4" t="n">
        <v>1606822</v>
      </c>
      <c r="D69" s="4" t="n">
        <v>1738259</v>
      </c>
    </row>
    <row r="70" customFormat="false" ht="15" hidden="false" customHeight="false" outlineLevel="0" collapsed="false">
      <c r="A70" s="5" t="s">
        <v>141</v>
      </c>
      <c r="B70" s="5" t="s">
        <v>142</v>
      </c>
      <c r="C70" s="6" t="n">
        <v>1673818</v>
      </c>
      <c r="D70" s="6" t="n">
        <v>1831560</v>
      </c>
    </row>
    <row r="71" customFormat="false" ht="15" hidden="false" customHeight="false" outlineLevel="0" collapsed="false">
      <c r="A71" s="3" t="s">
        <v>143</v>
      </c>
      <c r="B71" s="3" t="s">
        <v>144</v>
      </c>
      <c r="C71" s="4" t="n">
        <v>1743529</v>
      </c>
      <c r="D71" s="4" t="n">
        <v>1699488</v>
      </c>
    </row>
    <row r="72" customFormat="false" ht="15" hidden="false" customHeight="false" outlineLevel="0" collapsed="false">
      <c r="A72" s="5" t="s">
        <v>145</v>
      </c>
      <c r="B72" s="5" t="s">
        <v>146</v>
      </c>
      <c r="C72" s="6" t="n">
        <v>1783598</v>
      </c>
      <c r="D72" s="6" t="n">
        <v>1674697</v>
      </c>
    </row>
    <row r="73" customFormat="false" ht="15" hidden="false" customHeight="false" outlineLevel="0" collapsed="false">
      <c r="A73" s="3" t="s">
        <v>147</v>
      </c>
      <c r="B73" s="3" t="s">
        <v>148</v>
      </c>
      <c r="C73" s="4" t="n">
        <v>1808416</v>
      </c>
      <c r="D73" s="4" t="n">
        <v>1634144</v>
      </c>
    </row>
    <row r="74" customFormat="false" ht="15" hidden="false" customHeight="false" outlineLevel="0" collapsed="false">
      <c r="A74" s="5" t="s">
        <v>149</v>
      </c>
      <c r="B74" s="5" t="s">
        <v>150</v>
      </c>
      <c r="C74" s="6" t="n">
        <v>1849191</v>
      </c>
      <c r="D74" s="6" t="n">
        <v>1730175</v>
      </c>
    </row>
    <row r="75" customFormat="false" ht="15" hidden="false" customHeight="false" outlineLevel="0" collapsed="false">
      <c r="A75" s="3" t="s">
        <v>151</v>
      </c>
      <c r="B75" s="3" t="s">
        <v>152</v>
      </c>
      <c r="C75" s="4" t="n">
        <v>1802930</v>
      </c>
      <c r="D75" s="4" t="n">
        <v>1562289</v>
      </c>
    </row>
    <row r="76" customFormat="false" ht="15" hidden="false" customHeight="false" outlineLevel="0" collapsed="false">
      <c r="A76" s="5" t="s">
        <v>153</v>
      </c>
      <c r="B76" s="5" t="s">
        <v>154</v>
      </c>
      <c r="C76" s="6" t="n">
        <v>1939650</v>
      </c>
      <c r="D76" s="6" t="n">
        <v>1826411</v>
      </c>
    </row>
    <row r="77" customFormat="false" ht="15" hidden="false" customHeight="false" outlineLevel="0" collapsed="false">
      <c r="A77" s="3" t="s">
        <v>155</v>
      </c>
      <c r="B77" s="3" t="s">
        <v>156</v>
      </c>
      <c r="C77" s="4" t="n">
        <v>1863648</v>
      </c>
      <c r="D77" s="4" t="n">
        <v>2082901</v>
      </c>
    </row>
    <row r="78" customFormat="false" ht="15" hidden="false" customHeight="false" outlineLevel="0" collapsed="false">
      <c r="A78" s="5" t="s">
        <v>157</v>
      </c>
      <c r="B78" s="5" t="s">
        <v>158</v>
      </c>
      <c r="C78" s="6" t="n">
        <v>1842362</v>
      </c>
      <c r="D78" s="6" t="n">
        <v>1910536</v>
      </c>
    </row>
    <row r="79" customFormat="false" ht="15" hidden="false" customHeight="false" outlineLevel="0" collapsed="false">
      <c r="A79" s="3" t="s">
        <v>159</v>
      </c>
      <c r="B79" s="3" t="s">
        <v>160</v>
      </c>
      <c r="C79" s="4" t="n">
        <v>1890563</v>
      </c>
      <c r="D79" s="4" t="n">
        <v>2021998</v>
      </c>
    </row>
    <row r="80" customFormat="false" ht="15" hidden="false" customHeight="false" outlineLevel="0" collapsed="false">
      <c r="A80" s="5" t="s">
        <v>161</v>
      </c>
      <c r="B80" s="5" t="s">
        <v>162</v>
      </c>
      <c r="C80" s="6" t="n">
        <v>1885969</v>
      </c>
      <c r="D80" s="6" t="n">
        <v>1946366</v>
      </c>
    </row>
    <row r="81" customFormat="false" ht="15" hidden="false" customHeight="false" outlineLevel="0" collapsed="false">
      <c r="A81" s="3" t="s">
        <v>163</v>
      </c>
      <c r="B81" s="3" t="s">
        <v>164</v>
      </c>
      <c r="C81" s="4" t="n">
        <v>1864797</v>
      </c>
      <c r="D81" s="4" t="n">
        <v>2005968</v>
      </c>
    </row>
    <row r="82" customFormat="false" ht="15" hidden="false" customHeight="false" outlineLevel="0" collapsed="false">
      <c r="A82" s="5" t="s">
        <v>165</v>
      </c>
      <c r="B82" s="5" t="s">
        <v>166</v>
      </c>
      <c r="C82" s="6" t="n">
        <v>1921362</v>
      </c>
      <c r="D82" s="6" t="n">
        <v>2105291</v>
      </c>
    </row>
    <row r="83" customFormat="false" ht="15" hidden="false" customHeight="false" outlineLevel="0" collapsed="false">
      <c r="A83" s="3" t="s">
        <v>167</v>
      </c>
      <c r="B83" s="3" t="s">
        <v>168</v>
      </c>
      <c r="C83" s="4" t="n">
        <v>1892614</v>
      </c>
      <c r="D83" s="4" t="n">
        <v>1846418</v>
      </c>
    </row>
    <row r="84" customFormat="false" ht="15" hidden="false" customHeight="false" outlineLevel="0" collapsed="false">
      <c r="A84" s="5" t="s">
        <v>169</v>
      </c>
      <c r="B84" s="5" t="s">
        <v>170</v>
      </c>
      <c r="C84" s="6" t="n">
        <v>1936269</v>
      </c>
      <c r="D84" s="6" t="n">
        <v>1835290</v>
      </c>
    </row>
    <row r="85" customFormat="false" ht="15" hidden="false" customHeight="false" outlineLevel="0" collapsed="false">
      <c r="A85" s="3" t="s">
        <v>171</v>
      </c>
      <c r="B85" s="3" t="s">
        <v>172</v>
      </c>
      <c r="C85" s="4" t="n">
        <v>1984173</v>
      </c>
      <c r="D85" s="4" t="n">
        <v>1805772</v>
      </c>
    </row>
    <row r="86" customFormat="false" ht="15" hidden="false" customHeight="false" outlineLevel="0" collapsed="false">
      <c r="A86" s="5" t="s">
        <v>173</v>
      </c>
      <c r="B86" s="5" t="s">
        <v>174</v>
      </c>
      <c r="C86" s="6" t="n">
        <v>1953681</v>
      </c>
      <c r="D86" s="6" t="n">
        <v>1831942</v>
      </c>
    </row>
    <row r="87" customFormat="false" ht="15" hidden="false" customHeight="false" outlineLevel="0" collapsed="false">
      <c r="A87" s="3" t="s">
        <v>175</v>
      </c>
      <c r="B87" s="3" t="s">
        <v>176</v>
      </c>
      <c r="C87" s="4" t="n">
        <v>2025885</v>
      </c>
      <c r="D87" s="4" t="n">
        <v>1760979</v>
      </c>
    </row>
    <row r="88" customFormat="false" ht="15" hidden="false" customHeight="false" outlineLevel="0" collapsed="false">
      <c r="A88" s="5" t="s">
        <v>177</v>
      </c>
      <c r="B88" s="5" t="s">
        <v>178</v>
      </c>
      <c r="C88" s="6" t="n">
        <v>2015306</v>
      </c>
      <c r="D88" s="6" t="n">
        <v>1888825</v>
      </c>
    </row>
    <row r="89" customFormat="false" ht="15" hidden="false" customHeight="false" outlineLevel="0" collapsed="false">
      <c r="A89" s="3" t="s">
        <v>179</v>
      </c>
      <c r="B89" s="3" t="s">
        <v>180</v>
      </c>
      <c r="C89" s="4" t="n">
        <v>1976799</v>
      </c>
      <c r="D89" s="4" t="n">
        <v>2207084</v>
      </c>
    </row>
    <row r="90" customFormat="false" ht="15" hidden="false" customHeight="false" outlineLevel="0" collapsed="false">
      <c r="A90" s="5" t="s">
        <v>181</v>
      </c>
      <c r="B90" s="5" t="s">
        <v>182</v>
      </c>
      <c r="C90" s="6" t="n">
        <v>2069542</v>
      </c>
      <c r="D90" s="6" t="n">
        <v>2135961</v>
      </c>
    </row>
    <row r="91" customFormat="false" ht="15" hidden="false" customHeight="false" outlineLevel="0" collapsed="false">
      <c r="A91" s="3" t="s">
        <v>183</v>
      </c>
      <c r="B91" s="3" t="s">
        <v>184</v>
      </c>
      <c r="C91" s="4" t="n">
        <v>2099070</v>
      </c>
      <c r="D91" s="4" t="n">
        <v>2248424</v>
      </c>
    </row>
    <row r="92" customFormat="false" ht="15" hidden="false" customHeight="false" outlineLevel="0" collapsed="false">
      <c r="A92" s="5" t="s">
        <v>185</v>
      </c>
      <c r="B92" s="5" t="s">
        <v>186</v>
      </c>
      <c r="C92" s="6" t="n">
        <v>2071096</v>
      </c>
      <c r="D92" s="6" t="n">
        <v>2125745</v>
      </c>
    </row>
    <row r="93" customFormat="false" ht="15" hidden="false" customHeight="false" outlineLevel="0" collapsed="false">
      <c r="A93" s="3" t="s">
        <v>187</v>
      </c>
      <c r="B93" s="3" t="s">
        <v>188</v>
      </c>
      <c r="C93" s="4" t="n">
        <v>2134022</v>
      </c>
      <c r="D93" s="4" t="n">
        <v>2284259</v>
      </c>
    </row>
    <row r="94" customFormat="false" ht="15" hidden="false" customHeight="false" outlineLevel="0" collapsed="false">
      <c r="A94" s="5" t="s">
        <v>189</v>
      </c>
      <c r="B94" s="5" t="s">
        <v>190</v>
      </c>
      <c r="C94" s="6" t="n">
        <v>2125109</v>
      </c>
      <c r="D94" s="6" t="n">
        <v>2333268</v>
      </c>
    </row>
    <row r="95" customFormat="false" ht="15" hidden="false" customHeight="false" outlineLevel="0" collapsed="false">
      <c r="A95" s="3" t="s">
        <v>191</v>
      </c>
      <c r="B95" s="3" t="s">
        <v>192</v>
      </c>
      <c r="C95" s="4" t="n">
        <v>2049771</v>
      </c>
      <c r="D95" s="4" t="n">
        <v>2006474</v>
      </c>
    </row>
    <row r="96" customFormat="false" ht="15" hidden="false" customHeight="false" outlineLevel="0" collapsed="false">
      <c r="A96" s="5" t="s">
        <v>193</v>
      </c>
      <c r="B96" s="5" t="s">
        <v>194</v>
      </c>
      <c r="C96" s="6" t="n">
        <v>2086137</v>
      </c>
      <c r="D96" s="6" t="n">
        <v>1987478</v>
      </c>
    </row>
    <row r="97" customFormat="false" ht="15" hidden="false" customHeight="false" outlineLevel="0" collapsed="false">
      <c r="A97" s="3" t="s">
        <v>195</v>
      </c>
      <c r="B97" s="3" t="s">
        <v>196</v>
      </c>
      <c r="C97" s="4" t="n">
        <v>2127737</v>
      </c>
      <c r="D97" s="4" t="n">
        <v>1945214</v>
      </c>
    </row>
    <row r="98" customFormat="false" ht="15" hidden="false" customHeight="false" outlineLevel="0" collapsed="false">
      <c r="A98" s="5" t="s">
        <v>197</v>
      </c>
      <c r="B98" s="5" t="s">
        <v>198</v>
      </c>
      <c r="C98" s="6" t="n">
        <v>2079043</v>
      </c>
      <c r="D98" s="6" t="n">
        <v>1951045</v>
      </c>
    </row>
    <row r="99" customFormat="false" ht="15" hidden="false" customHeight="false" outlineLevel="0" collapsed="false">
      <c r="A99" s="3" t="s">
        <v>199</v>
      </c>
      <c r="B99" s="3" t="s">
        <v>200</v>
      </c>
      <c r="C99" s="4" t="n">
        <v>2118722</v>
      </c>
      <c r="D99" s="4" t="n">
        <v>1852593</v>
      </c>
    </row>
    <row r="100" customFormat="false" ht="15" hidden="false" customHeight="false" outlineLevel="0" collapsed="false">
      <c r="A100" s="5" t="s">
        <v>201</v>
      </c>
      <c r="B100" s="5" t="s">
        <v>202</v>
      </c>
      <c r="C100" s="6" t="n">
        <v>2132933</v>
      </c>
      <c r="D100" s="6" t="n">
        <v>1987716</v>
      </c>
    </row>
    <row r="101" customFormat="false" ht="15" hidden="false" customHeight="false" outlineLevel="0" collapsed="false">
      <c r="A101" s="3" t="s">
        <v>203</v>
      </c>
      <c r="B101" s="3" t="s">
        <v>204</v>
      </c>
      <c r="C101" s="4" t="n">
        <v>2156671</v>
      </c>
      <c r="D101" s="4" t="n">
        <v>2401306</v>
      </c>
    </row>
    <row r="102" customFormat="false" ht="15" hidden="false" customHeight="false" outlineLevel="0" collapsed="false">
      <c r="A102" s="5" t="s">
        <v>205</v>
      </c>
      <c r="B102" s="5" t="s">
        <v>206</v>
      </c>
      <c r="C102" s="6" t="n">
        <v>2168344</v>
      </c>
      <c r="D102" s="6" t="n">
        <v>2221910</v>
      </c>
    </row>
    <row r="103" customFormat="false" ht="15" hidden="false" customHeight="false" outlineLevel="0" collapsed="false">
      <c r="A103" s="3" t="s">
        <v>207</v>
      </c>
      <c r="B103" s="3" t="s">
        <v>208</v>
      </c>
      <c r="C103" s="4" t="n">
        <v>2205911</v>
      </c>
      <c r="D103" s="4" t="n">
        <v>2365841</v>
      </c>
    </row>
    <row r="104" customFormat="false" ht="15" hidden="false" customHeight="false" outlineLevel="0" collapsed="false">
      <c r="A104" s="5" t="s">
        <v>209</v>
      </c>
      <c r="B104" s="5" t="s">
        <v>210</v>
      </c>
      <c r="C104" s="6" t="n">
        <v>2152065</v>
      </c>
      <c r="D104" s="6" t="n">
        <v>2206622</v>
      </c>
    </row>
    <row r="105" customFormat="false" ht="15" hidden="false" customHeight="false" outlineLevel="0" collapsed="false">
      <c r="A105" s="3" t="s">
        <v>211</v>
      </c>
      <c r="B105" s="3" t="s">
        <v>212</v>
      </c>
      <c r="C105" s="4" t="n">
        <v>2200933</v>
      </c>
      <c r="D105" s="4" t="n">
        <v>2353641</v>
      </c>
    </row>
    <row r="106" customFormat="false" ht="15" hidden="false" customHeight="false" outlineLevel="0" collapsed="false">
      <c r="A106" s="5" t="s">
        <v>213</v>
      </c>
      <c r="B106" s="5" t="s">
        <v>214</v>
      </c>
      <c r="C106" s="6" t="n">
        <v>2205887</v>
      </c>
      <c r="D106" s="6" t="n">
        <v>2422807</v>
      </c>
    </row>
    <row r="107" customFormat="false" ht="15" hidden="false" customHeight="false" outlineLevel="0" collapsed="false">
      <c r="A107" s="3" t="s">
        <v>215</v>
      </c>
      <c r="B107" s="3" t="s">
        <v>216</v>
      </c>
      <c r="C107" s="4" t="n">
        <v>2241795</v>
      </c>
      <c r="D107" s="4" t="n">
        <v>2203883</v>
      </c>
    </row>
    <row r="108" customFormat="false" ht="15" hidden="false" customHeight="false" outlineLevel="0" collapsed="false">
      <c r="A108" s="5" t="s">
        <v>217</v>
      </c>
      <c r="B108" s="5" t="s">
        <v>218</v>
      </c>
      <c r="C108" s="6" t="n">
        <v>2234018</v>
      </c>
      <c r="D108" s="6" t="n">
        <v>2133258</v>
      </c>
    </row>
    <row r="109" customFormat="false" ht="15" hidden="false" customHeight="false" outlineLevel="0" collapsed="false">
      <c r="A109" s="3" t="s">
        <v>219</v>
      </c>
      <c r="B109" s="3" t="s">
        <v>220</v>
      </c>
      <c r="C109" s="4" t="n">
        <v>2176951</v>
      </c>
      <c r="D109" s="4" t="n">
        <v>1996525</v>
      </c>
    </row>
    <row r="110" customFormat="false" ht="15" hidden="false" customHeight="false" outlineLevel="0" collapsed="false">
      <c r="A110" s="5" t="s">
        <v>221</v>
      </c>
      <c r="B110" s="5" t="s">
        <v>222</v>
      </c>
      <c r="C110" s="6" t="n">
        <v>2253611</v>
      </c>
      <c r="D110" s="6" t="n">
        <v>2118137</v>
      </c>
    </row>
    <row r="111" customFormat="false" ht="15" hidden="false" customHeight="false" outlineLevel="0" collapsed="false">
      <c r="A111" s="3" t="s">
        <v>223</v>
      </c>
      <c r="B111" s="3" t="s">
        <v>224</v>
      </c>
      <c r="C111" s="4" t="n">
        <v>2272787</v>
      </c>
      <c r="D111" s="4" t="n">
        <v>1995059</v>
      </c>
    </row>
    <row r="112" customFormat="false" ht="15" hidden="false" customHeight="false" outlineLevel="0" collapsed="false">
      <c r="A112" s="5" t="s">
        <v>225</v>
      </c>
      <c r="B112" s="5" t="s">
        <v>226</v>
      </c>
      <c r="C112" s="6" t="n">
        <v>2230213</v>
      </c>
      <c r="D112" s="6" t="n">
        <v>2069097</v>
      </c>
    </row>
    <row r="113" customFormat="false" ht="15" hidden="false" customHeight="false" outlineLevel="0" collapsed="false">
      <c r="A113" s="3" t="s">
        <v>227</v>
      </c>
      <c r="B113" s="3" t="s">
        <v>228</v>
      </c>
      <c r="C113" s="4" t="n">
        <v>2264819</v>
      </c>
      <c r="D113" s="4" t="n">
        <v>2517785</v>
      </c>
    </row>
    <row r="114" customFormat="false" ht="15" hidden="false" customHeight="false" outlineLevel="0" collapsed="false">
      <c r="A114" s="5" t="s">
        <v>229</v>
      </c>
      <c r="B114" s="5" t="s">
        <v>230</v>
      </c>
      <c r="C114" s="6" t="n">
        <v>2288929</v>
      </c>
      <c r="D114" s="6" t="n">
        <v>2328497</v>
      </c>
    </row>
    <row r="115" customFormat="false" ht="15" hidden="false" customHeight="false" outlineLevel="0" collapsed="false">
      <c r="A115" s="3" t="s">
        <v>231</v>
      </c>
      <c r="B115" s="3" t="s">
        <v>232</v>
      </c>
      <c r="C115" s="4" t="n">
        <v>2276832</v>
      </c>
      <c r="D115" s="4" t="n">
        <v>2445860</v>
      </c>
    </row>
    <row r="116" customFormat="false" ht="15" hidden="false" customHeight="false" outlineLevel="0" collapsed="false">
      <c r="A116" s="5" t="s">
        <v>233</v>
      </c>
      <c r="B116" s="5" t="s">
        <v>234</v>
      </c>
      <c r="C116" s="6" t="n">
        <v>2374181</v>
      </c>
      <c r="D116" s="6" t="n">
        <v>2436258</v>
      </c>
    </row>
    <row r="117" customFormat="false" ht="15" hidden="false" customHeight="false" outlineLevel="0" collapsed="false">
      <c r="A117" s="3" t="s">
        <v>235</v>
      </c>
      <c r="B117" s="3" t="s">
        <v>236</v>
      </c>
      <c r="C117" s="4" t="n">
        <v>2383896</v>
      </c>
      <c r="D117" s="4" t="n">
        <v>2543460</v>
      </c>
    </row>
    <row r="118" customFormat="false" ht="15" hidden="false" customHeight="false" outlineLevel="0" collapsed="false">
      <c r="A118" s="5" t="s">
        <v>237</v>
      </c>
      <c r="B118" s="5" t="s">
        <v>238</v>
      </c>
      <c r="C118" s="6" t="n">
        <v>2351793</v>
      </c>
      <c r="D118" s="6" t="n">
        <v>2577876</v>
      </c>
    </row>
    <row r="119" customFormat="false" ht="15" hidden="false" customHeight="false" outlineLevel="0" collapsed="false">
      <c r="A119" s="3" t="s">
        <v>239</v>
      </c>
      <c r="B119" s="3" t="s">
        <v>240</v>
      </c>
      <c r="C119" s="4" t="n">
        <v>2384073</v>
      </c>
      <c r="D119" s="4" t="n">
        <v>2349205</v>
      </c>
    </row>
    <row r="120" customFormat="false" ht="15" hidden="false" customHeight="false" outlineLevel="0" collapsed="false">
      <c r="A120" s="5" t="s">
        <v>241</v>
      </c>
      <c r="B120" s="5" t="s">
        <v>242</v>
      </c>
      <c r="C120" s="6" t="n">
        <v>2371188</v>
      </c>
      <c r="D120" s="6" t="n">
        <v>2271258</v>
      </c>
    </row>
    <row r="121" customFormat="false" ht="15" hidden="false" customHeight="false" outlineLevel="0" collapsed="false">
      <c r="A121" s="3" t="s">
        <v>243</v>
      </c>
      <c r="B121" s="3" t="s">
        <v>244</v>
      </c>
      <c r="C121" s="4" t="n">
        <v>2303143</v>
      </c>
      <c r="D121" s="4" t="n">
        <v>2120407</v>
      </c>
    </row>
    <row r="122" customFormat="false" ht="15" hidden="false" customHeight="false" outlineLevel="0" collapsed="false">
      <c r="A122" s="5" t="s">
        <v>245</v>
      </c>
      <c r="B122" s="5" t="s">
        <v>246</v>
      </c>
      <c r="C122" s="6" t="n">
        <v>2331039</v>
      </c>
      <c r="D122" s="6" t="n">
        <v>2200161</v>
      </c>
    </row>
    <row r="123" customFormat="false" ht="15" hidden="false" customHeight="false" outlineLevel="0" collapsed="false">
      <c r="A123" s="3" t="s">
        <v>247</v>
      </c>
      <c r="B123" s="3" t="s">
        <v>248</v>
      </c>
      <c r="C123" s="4" t="n">
        <v>2307040</v>
      </c>
      <c r="D123" s="4" t="n">
        <v>2031784</v>
      </c>
    </row>
    <row r="124" customFormat="false" ht="15" hidden="false" customHeight="false" outlineLevel="0" collapsed="false">
      <c r="A124" s="5" t="s">
        <v>249</v>
      </c>
      <c r="B124" s="5" t="s">
        <v>250</v>
      </c>
      <c r="C124" s="6" t="n">
        <v>2541345</v>
      </c>
      <c r="D124" s="6" t="n">
        <v>2347514</v>
      </c>
    </row>
    <row r="125" customFormat="false" ht="15" hidden="false" customHeight="false" outlineLevel="0" collapsed="false">
      <c r="A125" s="3" t="s">
        <v>251</v>
      </c>
      <c r="B125" s="3" t="s">
        <v>252</v>
      </c>
      <c r="C125" s="4" t="n">
        <v>2290553</v>
      </c>
      <c r="D125" s="4" t="n">
        <v>2547354</v>
      </c>
    </row>
    <row r="126" customFormat="false" ht="15" hidden="false" customHeight="false" outlineLevel="0" collapsed="false">
      <c r="A126" s="5" t="s">
        <v>253</v>
      </c>
      <c r="B126" s="5" t="s">
        <v>254</v>
      </c>
      <c r="C126" s="6" t="n">
        <v>2367529</v>
      </c>
      <c r="D126" s="6" t="n">
        <v>2394339</v>
      </c>
    </row>
    <row r="127" customFormat="false" ht="15" hidden="false" customHeight="false" outlineLevel="0" collapsed="false">
      <c r="A127" s="3" t="s">
        <v>255</v>
      </c>
      <c r="B127" s="3" t="s">
        <v>256</v>
      </c>
      <c r="C127" s="4" t="n">
        <v>2292777</v>
      </c>
      <c r="D127" s="4" t="n">
        <v>2463310</v>
      </c>
    </row>
    <row r="128" customFormat="false" ht="15" hidden="false" customHeight="false" outlineLevel="0" collapsed="false">
      <c r="A128" s="5" t="s">
        <v>257</v>
      </c>
      <c r="B128" s="5" t="s">
        <v>258</v>
      </c>
      <c r="C128" s="6" t="n">
        <v>2343578</v>
      </c>
      <c r="D128" s="6" t="n">
        <v>2404572</v>
      </c>
    </row>
    <row r="129" customFormat="false" ht="15" hidden="false" customHeight="false" outlineLevel="0" collapsed="false">
      <c r="A129" s="3" t="s">
        <v>259</v>
      </c>
      <c r="B129" s="3" t="s">
        <v>260</v>
      </c>
      <c r="C129" s="4" t="n">
        <v>2320581</v>
      </c>
      <c r="D129" s="4" t="n">
        <v>2468369</v>
      </c>
    </row>
    <row r="130" customFormat="false" ht="15" hidden="false" customHeight="false" outlineLevel="0" collapsed="false">
      <c r="A130" s="5" t="s">
        <v>261</v>
      </c>
      <c r="B130" s="5" t="s">
        <v>262</v>
      </c>
      <c r="C130" s="6" t="n">
        <v>2389640</v>
      </c>
      <c r="D130" s="6" t="n">
        <v>2608770</v>
      </c>
    </row>
    <row r="131" customFormat="false" ht="15" hidden="false" customHeight="false" outlineLevel="0" collapsed="false">
      <c r="A131" s="3" t="s">
        <v>263</v>
      </c>
      <c r="B131" s="3" t="s">
        <v>264</v>
      </c>
      <c r="C131" s="4" t="n">
        <v>2387642</v>
      </c>
      <c r="D131" s="4" t="n">
        <v>2350653</v>
      </c>
    </row>
    <row r="132" customFormat="false" ht="15" hidden="false" customHeight="false" outlineLevel="0" collapsed="false">
      <c r="A132" s="5" t="s">
        <v>265</v>
      </c>
      <c r="B132" s="5" t="s">
        <v>266</v>
      </c>
      <c r="C132" s="6" t="n">
        <v>2328493</v>
      </c>
      <c r="D132" s="6" t="n">
        <v>2237854</v>
      </c>
    </row>
    <row r="133" customFormat="false" ht="15" hidden="false" customHeight="false" outlineLevel="0" collapsed="false">
      <c r="A133" s="3" t="s">
        <v>267</v>
      </c>
      <c r="B133" s="3" t="s">
        <v>268</v>
      </c>
      <c r="C133" s="4" t="n">
        <v>2359225</v>
      </c>
      <c r="D133" s="4" t="n">
        <v>2187130</v>
      </c>
    </row>
    <row r="134" customFormat="false" ht="15" hidden="false" customHeight="false" outlineLevel="0" collapsed="false">
      <c r="A134" s="5" t="s">
        <v>269</v>
      </c>
      <c r="B134" s="5" t="s">
        <v>270</v>
      </c>
      <c r="C134" s="6" t="n">
        <v>2445668</v>
      </c>
      <c r="D134" s="6" t="n">
        <v>2322834</v>
      </c>
    </row>
    <row r="135" customFormat="false" ht="15" hidden="false" customHeight="false" outlineLevel="0" collapsed="false">
      <c r="A135" s="3" t="s">
        <v>271</v>
      </c>
      <c r="B135" s="3" t="s">
        <v>272</v>
      </c>
      <c r="C135" s="4" t="n">
        <v>2338418</v>
      </c>
      <c r="D135" s="4" t="n">
        <v>2069219</v>
      </c>
    </row>
    <row r="136" customFormat="false" ht="15" hidden="false" customHeight="false" outlineLevel="0" collapsed="false">
      <c r="A136" s="5" t="s">
        <v>273</v>
      </c>
      <c r="B136" s="5" t="s">
        <v>274</v>
      </c>
      <c r="C136" s="6" t="n">
        <v>2348321</v>
      </c>
      <c r="D136" s="6" t="n">
        <v>2160525</v>
      </c>
    </row>
    <row r="137" customFormat="false" ht="15" hidden="false" customHeight="false" outlineLevel="0" collapsed="false">
      <c r="A137" s="3" t="s">
        <v>275</v>
      </c>
      <c r="B137" s="3" t="s">
        <v>276</v>
      </c>
      <c r="C137" s="4" t="n">
        <v>2339965</v>
      </c>
      <c r="D137" s="4" t="n">
        <v>2602327</v>
      </c>
    </row>
    <row r="138" customFormat="false" ht="15" hidden="false" customHeight="false" outlineLevel="0" collapsed="false">
      <c r="A138" s="5" t="s">
        <v>277</v>
      </c>
      <c r="B138" s="5" t="s">
        <v>278</v>
      </c>
      <c r="C138" s="6" t="n">
        <v>2278096</v>
      </c>
      <c r="D138" s="6" t="n">
        <v>2290883</v>
      </c>
    </row>
    <row r="139" customFormat="false" ht="15" hidden="false" customHeight="false" outlineLevel="0" collapsed="false">
      <c r="A139" s="3" t="s">
        <v>279</v>
      </c>
      <c r="B139" s="3" t="s">
        <v>280</v>
      </c>
      <c r="C139" s="4" t="n">
        <v>2344539</v>
      </c>
      <c r="D139" s="4" t="n">
        <v>2519180</v>
      </c>
    </row>
    <row r="140" customFormat="false" ht="15" hidden="false" customHeight="false" outlineLevel="0" collapsed="false">
      <c r="A140" s="5" t="s">
        <v>281</v>
      </c>
      <c r="B140" s="5" t="s">
        <v>282</v>
      </c>
      <c r="C140" s="6" t="n">
        <v>2325919</v>
      </c>
      <c r="D140" s="6" t="n">
        <v>2382009</v>
      </c>
    </row>
    <row r="141" customFormat="false" ht="15" hidden="false" customHeight="false" outlineLevel="0" collapsed="false">
      <c r="A141" s="3" t="s">
        <v>283</v>
      </c>
      <c r="B141" s="3" t="s">
        <v>284</v>
      </c>
      <c r="C141" s="4" t="n">
        <v>2289320</v>
      </c>
      <c r="D141" s="4" t="n">
        <v>2431283</v>
      </c>
    </row>
    <row r="142" customFormat="false" ht="15" hidden="false" customHeight="false" outlineLevel="0" collapsed="false">
      <c r="A142" s="5" t="s">
        <v>285</v>
      </c>
      <c r="B142" s="5" t="s">
        <v>286</v>
      </c>
      <c r="C142" s="6" t="n">
        <v>2256009</v>
      </c>
      <c r="D142" s="6" t="n">
        <v>2453083</v>
      </c>
    </row>
    <row r="143" customFormat="false" ht="15" hidden="false" customHeight="false" outlineLevel="0" collapsed="false">
      <c r="A143" s="3" t="s">
        <v>287</v>
      </c>
      <c r="B143" s="3" t="s">
        <v>288</v>
      </c>
      <c r="C143" s="4" t="n">
        <v>2318513</v>
      </c>
      <c r="D143" s="4" t="n">
        <v>2277344</v>
      </c>
    </row>
    <row r="144" customFormat="false" ht="15" hidden="false" customHeight="false" outlineLevel="0" collapsed="false">
      <c r="A144" s="5" t="s">
        <v>289</v>
      </c>
      <c r="B144" s="5" t="s">
        <v>290</v>
      </c>
      <c r="C144" s="6" t="n">
        <v>2305044</v>
      </c>
      <c r="D144" s="6" t="n">
        <v>2223533</v>
      </c>
    </row>
    <row r="145" customFormat="false" ht="15" hidden="false" customHeight="false" outlineLevel="0" collapsed="false">
      <c r="A145" s="3" t="s">
        <v>291</v>
      </c>
      <c r="B145" s="3" t="s">
        <v>292</v>
      </c>
      <c r="C145" s="4" t="n">
        <v>2354714</v>
      </c>
      <c r="D145" s="4" t="n">
        <v>2190039</v>
      </c>
    </row>
    <row r="146" customFormat="false" ht="15" hidden="false" customHeight="false" outlineLevel="0" collapsed="false">
      <c r="A146" s="5" t="s">
        <v>293</v>
      </c>
      <c r="B146" s="5" t="s">
        <v>294</v>
      </c>
      <c r="C146" s="6" t="n">
        <v>2324735</v>
      </c>
      <c r="D146" s="6" t="n">
        <v>2217431</v>
      </c>
    </row>
    <row r="147" customFormat="false" ht="15" hidden="false" customHeight="false" outlineLevel="0" collapsed="false">
      <c r="A147" s="3" t="s">
        <v>295</v>
      </c>
      <c r="B147" s="3" t="s">
        <v>296</v>
      </c>
      <c r="C147" s="4" t="n">
        <v>2348734</v>
      </c>
      <c r="D147" s="4" t="n">
        <v>2088286</v>
      </c>
    </row>
    <row r="148" customFormat="false" ht="15" hidden="false" customHeight="false" outlineLevel="0" collapsed="false">
      <c r="A148" s="5" t="s">
        <v>297</v>
      </c>
      <c r="B148" s="5" t="s">
        <v>298</v>
      </c>
      <c r="C148" s="6" t="n">
        <v>2355479</v>
      </c>
      <c r="D148" s="6" t="n">
        <v>2158995</v>
      </c>
    </row>
    <row r="149" customFormat="false" ht="15" hidden="false" customHeight="false" outlineLevel="0" collapsed="false">
      <c r="A149" s="3" t="s">
        <v>299</v>
      </c>
      <c r="B149" s="3" t="s">
        <v>300</v>
      </c>
      <c r="C149" s="4" t="n">
        <v>2353398</v>
      </c>
      <c r="D149" s="4" t="n">
        <v>2624862</v>
      </c>
    </row>
    <row r="150" customFormat="false" ht="15" hidden="false" customHeight="false" outlineLevel="0" collapsed="false">
      <c r="A150" s="5" t="s">
        <v>301</v>
      </c>
      <c r="B150" s="5" t="s">
        <v>302</v>
      </c>
      <c r="C150" s="6" t="n">
        <v>2309900</v>
      </c>
      <c r="D150" s="6" t="n">
        <v>2322466</v>
      </c>
    </row>
    <row r="151" customFormat="false" ht="15" hidden="false" customHeight="false" outlineLevel="0" collapsed="false">
      <c r="A151" s="3" t="s">
        <v>303</v>
      </c>
      <c r="B151" s="3" t="s">
        <v>304</v>
      </c>
      <c r="C151" s="4" t="n">
        <v>2372081</v>
      </c>
      <c r="D151" s="4" t="n">
        <v>2549138</v>
      </c>
    </row>
    <row r="152" customFormat="false" ht="15" hidden="false" customHeight="false" outlineLevel="0" collapsed="false">
      <c r="A152" s="5" t="s">
        <v>305</v>
      </c>
      <c r="B152" s="5" t="s">
        <v>306</v>
      </c>
      <c r="C152" s="6" t="n">
        <v>2368004</v>
      </c>
      <c r="D152" s="6" t="n">
        <v>2422229</v>
      </c>
    </row>
    <row r="153" customFormat="false" ht="15" hidden="false" customHeight="false" outlineLevel="0" collapsed="false">
      <c r="A153" s="3" t="s">
        <v>307</v>
      </c>
      <c r="B153" s="3" t="s">
        <v>308</v>
      </c>
      <c r="C153" s="4" t="n">
        <v>2322008</v>
      </c>
      <c r="D153" s="4" t="n">
        <v>2467357</v>
      </c>
    </row>
    <row r="154" customFormat="false" ht="15" hidden="false" customHeight="false" outlineLevel="0" collapsed="false">
      <c r="A154" s="5" t="s">
        <v>309</v>
      </c>
      <c r="B154" s="5" t="s">
        <v>310</v>
      </c>
      <c r="C154" s="6" t="n">
        <v>2376671</v>
      </c>
      <c r="D154" s="6" t="n">
        <v>2562729</v>
      </c>
    </row>
    <row r="155" customFormat="false" ht="15" hidden="false" customHeight="false" outlineLevel="0" collapsed="false">
      <c r="A155" s="3" t="s">
        <v>311</v>
      </c>
      <c r="B155" s="3" t="s">
        <v>312</v>
      </c>
      <c r="C155" s="4" t="n">
        <v>2302702</v>
      </c>
      <c r="D155" s="4" t="n">
        <v>2251091</v>
      </c>
    </row>
    <row r="156" customFormat="false" ht="15" hidden="false" customHeight="false" outlineLevel="0" collapsed="false">
      <c r="A156" s="5" t="s">
        <v>313</v>
      </c>
      <c r="B156" s="5" t="s">
        <v>314</v>
      </c>
      <c r="C156" s="6" t="n">
        <v>2390692</v>
      </c>
      <c r="D156" s="6" t="n">
        <v>2309638</v>
      </c>
    </row>
    <row r="157" customFormat="false" ht="15" hidden="false" customHeight="false" outlineLevel="0" collapsed="false">
      <c r="A157" s="3" t="s">
        <v>315</v>
      </c>
      <c r="B157" s="3" t="s">
        <v>316</v>
      </c>
      <c r="C157" s="4" t="n">
        <v>2389923</v>
      </c>
      <c r="D157" s="4" t="n">
        <v>2227339</v>
      </c>
    </row>
    <row r="158" customFormat="false" ht="15" hidden="false" customHeight="false" outlineLevel="0" collapsed="false">
      <c r="A158" s="5" t="s">
        <v>317</v>
      </c>
      <c r="B158" s="5" t="s">
        <v>318</v>
      </c>
      <c r="C158" s="6" t="n">
        <v>2384838</v>
      </c>
      <c r="D158" s="6" t="n">
        <v>2278150</v>
      </c>
    </row>
    <row r="159" customFormat="false" ht="15" hidden="false" customHeight="false" outlineLevel="0" collapsed="false">
      <c r="A159" s="3" t="s">
        <v>319</v>
      </c>
      <c r="B159" s="3" t="s">
        <v>320</v>
      </c>
      <c r="C159" s="4" t="n">
        <v>2331852</v>
      </c>
      <c r="D159" s="4" t="n">
        <v>2082969</v>
      </c>
    </row>
    <row r="160" customFormat="false" ht="15" hidden="false" customHeight="false" outlineLevel="0" collapsed="false">
      <c r="A160" s="5" t="s">
        <v>321</v>
      </c>
      <c r="B160" s="5" t="s">
        <v>322</v>
      </c>
      <c r="C160" s="6" t="n">
        <v>2359029</v>
      </c>
      <c r="D160" s="6" t="n">
        <v>2159312</v>
      </c>
    </row>
    <row r="161" customFormat="false" ht="15" hidden="false" customHeight="false" outlineLevel="0" collapsed="false">
      <c r="A161" s="3" t="s">
        <v>323</v>
      </c>
      <c r="B161" s="3" t="s">
        <v>324</v>
      </c>
      <c r="C161" s="4" t="n">
        <v>2381175</v>
      </c>
      <c r="D161" s="4" t="n">
        <v>2669192</v>
      </c>
    </row>
    <row r="162" customFormat="false" ht="15" hidden="false" customHeight="false" outlineLevel="0" collapsed="false">
      <c r="A162" s="5" t="s">
        <v>325</v>
      </c>
      <c r="B162" s="5" t="s">
        <v>326</v>
      </c>
      <c r="C162" s="6" t="n">
        <v>2428798</v>
      </c>
      <c r="D162" s="6" t="n">
        <v>2455205</v>
      </c>
    </row>
    <row r="163" customFormat="false" ht="15" hidden="false" customHeight="false" outlineLevel="0" collapsed="false">
      <c r="A163" s="3" t="s">
        <v>327</v>
      </c>
      <c r="B163" s="3" t="s">
        <v>328</v>
      </c>
      <c r="C163" s="4" t="n">
        <v>2417765</v>
      </c>
      <c r="D163" s="4" t="n">
        <v>2595768</v>
      </c>
    </row>
    <row r="164" customFormat="false" ht="15" hidden="false" customHeight="false" outlineLevel="0" collapsed="false">
      <c r="A164" s="5" t="s">
        <v>329</v>
      </c>
      <c r="B164" s="5" t="s">
        <v>330</v>
      </c>
      <c r="C164" s="6" t="n">
        <v>2354020</v>
      </c>
      <c r="D164" s="6" t="n">
        <v>2408043</v>
      </c>
    </row>
    <row r="165" customFormat="false" ht="15" hidden="false" customHeight="false" outlineLevel="0" collapsed="false">
      <c r="A165" s="3" t="s">
        <v>331</v>
      </c>
      <c r="B165" s="3" t="s">
        <v>332</v>
      </c>
      <c r="C165" s="4" t="n">
        <v>2447431</v>
      </c>
      <c r="D165" s="4" t="n">
        <v>2593527</v>
      </c>
    </row>
    <row r="166" customFormat="false" ht="15" hidden="false" customHeight="false" outlineLevel="0" collapsed="false">
      <c r="A166" s="5" t="s">
        <v>333</v>
      </c>
      <c r="B166" s="5" t="s">
        <v>334</v>
      </c>
      <c r="C166" s="6" t="n">
        <v>2501111</v>
      </c>
      <c r="D166" s="6" t="n">
        <v>2675222</v>
      </c>
    </row>
    <row r="167" customFormat="false" ht="15" hidden="false" customHeight="false" outlineLevel="0" collapsed="false">
      <c r="A167" s="3" t="s">
        <v>335</v>
      </c>
      <c r="B167" s="3" t="s">
        <v>336</v>
      </c>
      <c r="C167" s="4" t="n">
        <v>2428070</v>
      </c>
      <c r="D167" s="4" t="n">
        <v>2368105</v>
      </c>
    </row>
    <row r="168" customFormat="false" ht="15" hidden="false" customHeight="false" outlineLevel="0" collapsed="false">
      <c r="A168" s="5" t="s">
        <v>337</v>
      </c>
      <c r="B168" s="5" t="s">
        <v>338</v>
      </c>
      <c r="C168" s="6" t="n">
        <v>2454327</v>
      </c>
      <c r="D168" s="6" t="n">
        <v>2375355</v>
      </c>
    </row>
    <row r="169" customFormat="false" ht="15" hidden="false" customHeight="false" outlineLevel="0" collapsed="false">
      <c r="A169" s="3" t="s">
        <v>339</v>
      </c>
      <c r="B169" s="3" t="s">
        <v>340</v>
      </c>
      <c r="C169" s="4" t="n">
        <v>2551020</v>
      </c>
      <c r="D169" s="4" t="n">
        <v>2364970</v>
      </c>
    </row>
    <row r="170" customFormat="false" ht="15" hidden="false" customHeight="false" outlineLevel="0" collapsed="false">
      <c r="A170" s="5" t="s">
        <v>341</v>
      </c>
      <c r="B170" s="5" t="s">
        <v>342</v>
      </c>
      <c r="C170" s="6" t="n">
        <v>2479581</v>
      </c>
      <c r="D170" s="6" t="n">
        <v>2363792</v>
      </c>
    </row>
    <row r="171" customFormat="false" ht="15" hidden="false" customHeight="false" outlineLevel="0" collapsed="false">
      <c r="A171" s="3" t="s">
        <v>343</v>
      </c>
      <c r="B171" s="3" t="s">
        <v>344</v>
      </c>
      <c r="C171" s="4" t="n">
        <v>2478805</v>
      </c>
      <c r="D171" s="4" t="n">
        <v>2223793</v>
      </c>
    </row>
    <row r="172" customFormat="false" ht="15" hidden="false" customHeight="false" outlineLevel="0" collapsed="false">
      <c r="A172" s="5" t="s">
        <v>345</v>
      </c>
      <c r="B172" s="5" t="s">
        <v>346</v>
      </c>
      <c r="C172" s="6" t="n">
        <v>2556048</v>
      </c>
      <c r="D172" s="6" t="n">
        <v>2344720</v>
      </c>
    </row>
    <row r="173" customFormat="false" ht="15" hidden="false" customHeight="false" outlineLevel="0" collapsed="false">
      <c r="A173" s="3" t="s">
        <v>347</v>
      </c>
      <c r="B173" s="3" t="s">
        <v>348</v>
      </c>
      <c r="C173" s="4" t="n">
        <v>1783922</v>
      </c>
      <c r="D173" s="4" t="n">
        <v>2012138</v>
      </c>
    </row>
    <row r="174" customFormat="false" ht="15" hidden="false" customHeight="false" outlineLevel="0" collapsed="false">
      <c r="A174" s="5" t="s">
        <v>349</v>
      </c>
      <c r="B174" s="5" t="s">
        <v>350</v>
      </c>
      <c r="C174" s="6" t="n">
        <v>1566940</v>
      </c>
      <c r="D174" s="6" t="n">
        <v>1598790</v>
      </c>
    </row>
    <row r="175" customFormat="false" ht="15" hidden="false" customHeight="false" outlineLevel="0" collapsed="false">
      <c r="A175" s="3" t="s">
        <v>351</v>
      </c>
      <c r="B175" s="3" t="s">
        <v>352</v>
      </c>
      <c r="C175" s="4" t="n">
        <v>2254189</v>
      </c>
      <c r="D175" s="4" t="n">
        <v>2417240</v>
      </c>
    </row>
    <row r="176" customFormat="false" ht="15" hidden="false" customHeight="false" outlineLevel="0" collapsed="false">
      <c r="A176" s="5" t="s">
        <v>353</v>
      </c>
      <c r="B176" s="5" t="s">
        <v>354</v>
      </c>
      <c r="C176" s="6" t="n">
        <v>2550452</v>
      </c>
      <c r="D176" s="6" t="n">
        <v>2615241</v>
      </c>
    </row>
    <row r="177" customFormat="false" ht="15" hidden="false" customHeight="false" outlineLevel="0" collapsed="false">
      <c r="A177" s="3" t="s">
        <v>355</v>
      </c>
      <c r="B177" s="3" t="s">
        <v>356</v>
      </c>
      <c r="C177" s="4" t="n">
        <v>2456565</v>
      </c>
      <c r="D177" s="4" t="n">
        <v>2587098</v>
      </c>
    </row>
    <row r="178" customFormat="false" ht="15" hidden="false" customHeight="false" outlineLevel="0" collapsed="false">
      <c r="A178" s="5" t="s">
        <v>357</v>
      </c>
      <c r="B178" s="5" t="s">
        <v>358</v>
      </c>
      <c r="C178" s="6" t="n">
        <v>2373636</v>
      </c>
      <c r="D178" s="6" t="n">
        <v>2519617</v>
      </c>
    </row>
    <row r="179" customFormat="false" ht="15" hidden="false" customHeight="false" outlineLevel="0" collapsed="false">
      <c r="A179" s="3" t="s">
        <v>359</v>
      </c>
      <c r="B179" s="3" t="s">
        <v>360</v>
      </c>
      <c r="C179" s="4" t="n">
        <v>2486515</v>
      </c>
      <c r="D179" s="4" t="n">
        <v>2422644</v>
      </c>
    </row>
    <row r="180" customFormat="false" ht="15" hidden="false" customHeight="false" outlineLevel="0" collapsed="false">
      <c r="A180" s="5" t="s">
        <v>361</v>
      </c>
      <c r="B180" s="5" t="s">
        <v>362</v>
      </c>
      <c r="C180" s="6" t="n">
        <v>2495766</v>
      </c>
      <c r="D180" s="6" t="n">
        <v>2409904</v>
      </c>
    </row>
    <row r="181" customFormat="false" ht="15" hidden="false" customHeight="false" outlineLevel="0" collapsed="false">
      <c r="A181" s="3" t="s">
        <v>363</v>
      </c>
      <c r="B181" s="3" t="s">
        <v>364</v>
      </c>
      <c r="C181" s="4" t="n">
        <v>2346220</v>
      </c>
      <c r="D181" s="4" t="n">
        <v>2162621</v>
      </c>
    </row>
    <row r="182" customFormat="false" ht="15" hidden="false" customHeight="false" outlineLevel="0" collapsed="false">
      <c r="A182" s="5" t="s">
        <v>365</v>
      </c>
      <c r="B182" s="5" t="s">
        <v>366</v>
      </c>
      <c r="C182" s="6" t="n">
        <v>2476065</v>
      </c>
      <c r="D182" s="6" t="n">
        <v>2357456</v>
      </c>
    </row>
    <row r="183" customFormat="false" ht="15" hidden="false" customHeight="false" outlineLevel="0" collapsed="false">
      <c r="A183" s="3" t="s">
        <v>367</v>
      </c>
      <c r="B183" s="3" t="s">
        <v>368</v>
      </c>
      <c r="C183" s="4" t="n">
        <v>2515588</v>
      </c>
      <c r="D183" s="4" t="n">
        <v>2267375</v>
      </c>
    </row>
    <row r="184" customFormat="false" ht="15" hidden="false" customHeight="false" outlineLevel="0" collapsed="false">
      <c r="A184" s="5" t="s">
        <v>369</v>
      </c>
      <c r="B184" s="5" t="s">
        <v>370</v>
      </c>
      <c r="C184" s="6" t="n">
        <v>2343424</v>
      </c>
      <c r="D184" s="6" t="n">
        <v>2166208</v>
      </c>
    </row>
    <row r="185" customFormat="false" ht="15" hidden="false" customHeight="false" outlineLevel="0" collapsed="false">
      <c r="A185" s="3" t="s">
        <v>371</v>
      </c>
      <c r="B185" s="3" t="s">
        <v>372</v>
      </c>
      <c r="C185" s="4" t="n">
        <v>2826479</v>
      </c>
      <c r="D185" s="4" t="n">
        <v>3193812</v>
      </c>
    </row>
    <row r="186" customFormat="false" ht="15" hidden="false" customHeight="false" outlineLevel="0" collapsed="false">
      <c r="A186" s="5" t="s">
        <v>373</v>
      </c>
      <c r="B186" s="5" t="s">
        <v>374</v>
      </c>
      <c r="C186" s="6" t="n">
        <v>2827187</v>
      </c>
      <c r="D186" s="6" t="n">
        <v>2908136</v>
      </c>
    </row>
    <row r="187" customFormat="false" ht="15" hidden="false" customHeight="false" outlineLevel="0" collapsed="false">
      <c r="A187" s="3" t="s">
        <v>375</v>
      </c>
      <c r="B187" s="3" t="s">
        <v>376</v>
      </c>
      <c r="C187" s="4" t="n">
        <v>2640117</v>
      </c>
      <c r="D187" s="4" t="n">
        <v>2829811</v>
      </c>
    </row>
    <row r="188" customFormat="false" ht="15" hidden="false" customHeight="false" outlineLevel="0" collapsed="false">
      <c r="A188" s="5" t="s">
        <v>377</v>
      </c>
      <c r="B188" s="5" t="s">
        <v>378</v>
      </c>
      <c r="C188" s="6" t="n">
        <v>2678997</v>
      </c>
      <c r="D188" s="6" t="n">
        <v>2746129</v>
      </c>
    </row>
    <row r="189" customFormat="false" ht="15" hidden="false" customHeight="false" outlineLevel="0" collapsed="false">
      <c r="A189" s="3" t="s">
        <v>379</v>
      </c>
      <c r="B189" s="3" t="s">
        <v>380</v>
      </c>
      <c r="C189" s="4" t="n">
        <v>2549077</v>
      </c>
      <c r="D189" s="4" t="n">
        <v>2667402</v>
      </c>
    </row>
    <row r="190" customFormat="false" ht="15" hidden="false" customHeight="false" outlineLevel="0" collapsed="false">
      <c r="A190" s="5" t="s">
        <v>381</v>
      </c>
      <c r="B190" s="5" t="s">
        <v>382</v>
      </c>
      <c r="C190" s="6" t="n">
        <v>2396457</v>
      </c>
      <c r="D190" s="6" t="n">
        <v>2534874</v>
      </c>
    </row>
    <row r="191" customFormat="false" ht="15" hidden="false" customHeight="false" outlineLevel="0" collapsed="false">
      <c r="A191" s="3" t="s">
        <v>383</v>
      </c>
      <c r="B191" s="3" t="s">
        <v>384</v>
      </c>
      <c r="C191" s="4" t="n">
        <v>2405010</v>
      </c>
      <c r="D191" s="4" t="n">
        <v>2343682</v>
      </c>
    </row>
    <row r="192" customFormat="false" ht="15" hidden="false" customHeight="false" outlineLevel="0" collapsed="false">
      <c r="A192" s="5" t="s">
        <v>385</v>
      </c>
      <c r="B192" s="5" t="s">
        <v>386</v>
      </c>
      <c r="C192" s="6" t="n">
        <v>2388911</v>
      </c>
      <c r="D192" s="6" t="n">
        <v>2303315</v>
      </c>
    </row>
    <row r="193" customFormat="false" ht="15" hidden="false" customHeight="false" outlineLevel="0" collapsed="false">
      <c r="A193" s="3" t="s">
        <v>387</v>
      </c>
      <c r="B193" s="3" t="s">
        <v>388</v>
      </c>
      <c r="C193" s="4" t="n">
        <v>2445550</v>
      </c>
      <c r="D193" s="4" t="n">
        <v>2238671</v>
      </c>
    </row>
    <row r="194" customFormat="false" ht="15" hidden="false" customHeight="false" outlineLevel="0" collapsed="false">
      <c r="A194" s="5" t="s">
        <v>389</v>
      </c>
      <c r="B194" s="5" t="s">
        <v>390</v>
      </c>
      <c r="C194" s="6" t="n">
        <v>2393344</v>
      </c>
      <c r="D194" s="6" t="n">
        <v>2277727</v>
      </c>
    </row>
    <row r="195" customFormat="false" ht="15" hidden="false" customHeight="false" outlineLevel="0" collapsed="false">
      <c r="A195" s="3" t="s">
        <v>391</v>
      </c>
      <c r="B195" s="3" t="s">
        <v>392</v>
      </c>
      <c r="C195" s="4" t="n">
        <v>2337074</v>
      </c>
      <c r="D195" s="4" t="n">
        <v>2107083</v>
      </c>
    </row>
    <row r="196" customFormat="false" ht="15" hidden="false" customHeight="false" outlineLevel="0" collapsed="false">
      <c r="A196" s="5" t="s">
        <v>393</v>
      </c>
      <c r="B196" s="5" t="s">
        <v>394</v>
      </c>
      <c r="C196" s="6" t="n">
        <v>2362867</v>
      </c>
      <c r="D196" s="6" t="n">
        <v>2199637</v>
      </c>
    </row>
    <row r="197" customFormat="false" ht="15" hidden="false" customHeight="false" outlineLevel="0" collapsed="false">
      <c r="A197" s="3" t="s">
        <v>395</v>
      </c>
      <c r="B197" s="3" t="s">
        <v>396</v>
      </c>
      <c r="C197" s="4" t="n">
        <v>2373062</v>
      </c>
      <c r="D197" s="4" t="n">
        <v>2691647</v>
      </c>
    </row>
    <row r="198" customFormat="false" ht="15" hidden="false" customHeight="false" outlineLevel="0" collapsed="false">
      <c r="A198" s="5" t="s">
        <v>397</v>
      </c>
      <c r="B198" s="5" t="s">
        <v>398</v>
      </c>
      <c r="C198" s="6" t="n">
        <v>2367150</v>
      </c>
      <c r="D198" s="6" t="n">
        <v>2456528</v>
      </c>
    </row>
    <row r="199" customFormat="false" ht="15" hidden="false" customHeight="false" outlineLevel="0" collapsed="false">
      <c r="A199" s="3" t="s">
        <v>399</v>
      </c>
      <c r="B199" s="3" t="s">
        <v>400</v>
      </c>
      <c r="C199" s="4" t="n">
        <v>2234748</v>
      </c>
      <c r="D199" s="4" t="n">
        <v>2395442</v>
      </c>
    </row>
    <row r="200" customFormat="false" ht="15" hidden="false" customHeight="false" outlineLevel="0" collapsed="false">
      <c r="A200" s="5" t="s">
        <v>401</v>
      </c>
      <c r="B200" s="5" t="s">
        <v>402</v>
      </c>
      <c r="C200" s="6" t="n">
        <v>2246398</v>
      </c>
      <c r="D200" s="6" t="n">
        <v>2296562</v>
      </c>
    </row>
    <row r="201" customFormat="false" ht="15" hidden="false" customHeight="false" outlineLevel="0" collapsed="false">
      <c r="A201" s="3" t="s">
        <v>403</v>
      </c>
      <c r="B201" s="3" t="s">
        <v>404</v>
      </c>
      <c r="C201" s="4" t="n">
        <v>2093771</v>
      </c>
      <c r="D201" s="4" t="n">
        <v>2177555</v>
      </c>
    </row>
    <row r="202" customFormat="false" ht="15" hidden="false" customHeight="false" outlineLevel="0" collapsed="false">
      <c r="A202" s="5" t="s">
        <v>405</v>
      </c>
      <c r="B202" s="5" t="s">
        <v>406</v>
      </c>
      <c r="C202" s="6" t="n">
        <v>2185762</v>
      </c>
      <c r="D202" s="6" t="n">
        <v>2304010</v>
      </c>
    </row>
    <row r="203" customFormat="false" ht="15" hidden="false" customHeight="false" outlineLevel="0" collapsed="false">
      <c r="A203" s="3" t="s">
        <v>407</v>
      </c>
      <c r="B203" s="3" t="s">
        <v>408</v>
      </c>
      <c r="C203" s="4" t="n">
        <v>2181615</v>
      </c>
      <c r="D203" s="4" t="n">
        <v>2121762</v>
      </c>
    </row>
    <row r="204" customFormat="false" ht="15" hidden="false" customHeight="false" outlineLevel="0" collapsed="false">
      <c r="A204" s="5" t="s">
        <v>409</v>
      </c>
      <c r="B204" s="5" t="s">
        <v>410</v>
      </c>
      <c r="C204" s="6" t="n">
        <v>2136268</v>
      </c>
      <c r="D204" s="6" t="n">
        <v>2053060</v>
      </c>
    </row>
    <row r="205" customFormat="false" ht="15" hidden="false" customHeight="false" outlineLevel="0" collapsed="false">
      <c r="A205" s="3" t="s">
        <v>411</v>
      </c>
      <c r="B205" s="3" t="s">
        <v>412</v>
      </c>
      <c r="C205" s="4" t="n">
        <v>2063651</v>
      </c>
      <c r="D205" s="4" t="n">
        <v>1889329</v>
      </c>
    </row>
    <row r="206" customFormat="false" ht="15" hidden="false" customHeight="false" outlineLevel="0" collapsed="false">
      <c r="A206" s="5" t="s">
        <v>413</v>
      </c>
      <c r="B206" s="5" t="s">
        <v>414</v>
      </c>
      <c r="C206" s="6" t="n">
        <v>2015813</v>
      </c>
      <c r="D206" s="6" t="n">
        <v>1924185</v>
      </c>
    </row>
    <row r="207" customFormat="false" ht="15" hidden="false" customHeight="false" outlineLevel="0" collapsed="false">
      <c r="A207" s="3" t="s">
        <v>415</v>
      </c>
      <c r="B207" s="3" t="s">
        <v>416</v>
      </c>
      <c r="C207" s="4" t="n">
        <v>2132251</v>
      </c>
      <c r="D207" s="4" t="n">
        <v>1919459</v>
      </c>
    </row>
    <row r="208" customFormat="false" ht="15" hidden="false" customHeight="false" outlineLevel="0" collapsed="false">
      <c r="A208" s="5" t="s">
        <v>417</v>
      </c>
      <c r="B208" s="5" t="s">
        <v>418</v>
      </c>
      <c r="C208" s="6" t="n">
        <v>2067793</v>
      </c>
      <c r="D208" s="6" t="n">
        <v>1936879</v>
      </c>
    </row>
    <row r="209" customFormat="false" ht="15" hidden="false" customHeight="false" outlineLevel="0" collapsed="false">
      <c r="A209" s="3" t="s">
        <v>419</v>
      </c>
      <c r="B209" s="3" t="s">
        <v>420</v>
      </c>
      <c r="C209" s="4" t="n">
        <v>2004249</v>
      </c>
      <c r="D209" s="4" t="n">
        <v>2276708</v>
      </c>
    </row>
    <row r="210" customFormat="false" ht="15" hidden="false" customHeight="false" outlineLevel="0" collapsed="false">
      <c r="A210" s="5" t="s">
        <v>421</v>
      </c>
      <c r="B210" s="5" t="s">
        <v>422</v>
      </c>
      <c r="C210" s="6" t="n">
        <v>1962843</v>
      </c>
      <c r="D210" s="6" t="n">
        <v>2049871</v>
      </c>
    </row>
    <row r="211" customFormat="false" ht="15" hidden="false" customHeight="false" outlineLevel="0" collapsed="false">
      <c r="A211" s="3" t="s">
        <v>423</v>
      </c>
      <c r="B211" s="3" t="s">
        <v>424</v>
      </c>
      <c r="C211" s="4" t="n">
        <v>2064046</v>
      </c>
      <c r="D211" s="4" t="n">
        <v>2212636</v>
      </c>
    </row>
    <row r="212" customFormat="false" ht="15" hidden="false" customHeight="false" outlineLevel="0" collapsed="false">
      <c r="A212" s="5" t="s">
        <v>425</v>
      </c>
      <c r="B212" s="5" t="s">
        <v>426</v>
      </c>
      <c r="C212" s="6" t="n">
        <v>2095997</v>
      </c>
      <c r="D212" s="6" t="n">
        <v>2129689</v>
      </c>
    </row>
    <row r="213" customFormat="false" ht="15" hidden="false" customHeight="false" outlineLevel="0" collapsed="false">
      <c r="A213" s="3" t="s">
        <v>427</v>
      </c>
      <c r="B213" s="3" t="s">
        <v>428</v>
      </c>
      <c r="C213" s="4" t="n">
        <v>2027203</v>
      </c>
      <c r="D213" s="4" t="n">
        <v>2097431</v>
      </c>
    </row>
    <row r="214" customFormat="false" ht="15" hidden="false" customHeight="false" outlineLevel="0" collapsed="false">
      <c r="A214" s="5" t="s">
        <v>429</v>
      </c>
      <c r="B214" s="5" t="s">
        <v>430</v>
      </c>
      <c r="C214" s="6" t="n">
        <v>2085724</v>
      </c>
      <c r="D214" s="6" t="n">
        <v>2199744</v>
      </c>
    </row>
    <row r="215" customFormat="false" ht="15" hidden="false" customHeight="false" outlineLevel="0" collapsed="false">
      <c r="A215" s="3" t="s">
        <v>431</v>
      </c>
      <c r="B215" s="3" t="s">
        <v>432</v>
      </c>
      <c r="C215" s="4" t="n">
        <v>2095929</v>
      </c>
      <c r="D215" s="4" t="n">
        <v>2032335</v>
      </c>
    </row>
    <row r="216" customFormat="false" ht="15" hidden="false" customHeight="false" outlineLevel="0" collapsed="false">
      <c r="A216" s="5" t="s">
        <v>433</v>
      </c>
      <c r="B216" s="5" t="s">
        <v>434</v>
      </c>
      <c r="C216" s="6" t="n">
        <v>2017239</v>
      </c>
      <c r="D216" s="6" t="n">
        <v>1938988</v>
      </c>
    </row>
    <row r="217" customFormat="false" ht="15" hidden="false" customHeight="false" outlineLevel="0" collapsed="false">
      <c r="A217" s="3" t="s">
        <v>435</v>
      </c>
      <c r="B217" s="3" t="s">
        <v>436</v>
      </c>
      <c r="C217" s="4" t="n">
        <v>2034194</v>
      </c>
      <c r="D217" s="4" t="n">
        <v>1866639</v>
      </c>
    </row>
    <row r="218" customFormat="false" ht="15" hidden="false" customHeight="false" outlineLevel="0" collapsed="false">
      <c r="A218" s="5" t="s">
        <v>437</v>
      </c>
      <c r="B218" s="5" t="s">
        <v>438</v>
      </c>
      <c r="C218" s="6" t="n">
        <v>2084191</v>
      </c>
      <c r="D218" s="6" t="n">
        <v>1995565</v>
      </c>
    </row>
    <row r="219" customFormat="false" ht="15" hidden="false" customHeight="false" outlineLevel="0" collapsed="false">
      <c r="A219" s="3" t="s">
        <v>439</v>
      </c>
      <c r="B219" s="3" t="s">
        <v>440</v>
      </c>
      <c r="C219" s="4" t="n">
        <v>2048530</v>
      </c>
      <c r="D219" s="4" t="n">
        <v>1840692</v>
      </c>
    </row>
    <row r="220" customFormat="false" ht="15" hidden="false" customHeight="false" outlineLevel="0" collapsed="false">
      <c r="A220" s="5" t="s">
        <v>441</v>
      </c>
      <c r="B220" s="5" t="s">
        <v>442</v>
      </c>
      <c r="C220" s="6" t="n">
        <v>2135407</v>
      </c>
      <c r="D220" s="6" t="n">
        <v>2004108</v>
      </c>
    </row>
    <row r="221" customFormat="false" ht="15" hidden="false" customHeight="false" outlineLevel="0" collapsed="false">
      <c r="A221" s="3" t="s">
        <v>443</v>
      </c>
      <c r="B221" s="3" t="s">
        <v>444</v>
      </c>
      <c r="C221" s="4" t="n">
        <v>2001225</v>
      </c>
      <c r="D221" s="4" t="n">
        <v>2275859</v>
      </c>
    </row>
    <row r="222" customFormat="false" ht="15" hidden="false" customHeight="false" outlineLevel="0" collapsed="false">
      <c r="A222" s="5" t="s">
        <v>445</v>
      </c>
      <c r="B222" s="5" t="s">
        <v>446</v>
      </c>
      <c r="C222" s="6" t="n">
        <v>2051268</v>
      </c>
      <c r="D222" s="6" t="n">
        <v>2150333</v>
      </c>
    </row>
    <row r="223" customFormat="false" ht="15" hidden="false" customHeight="false" outlineLevel="0" collapsed="false">
      <c r="A223" s="3" t="s">
        <v>447</v>
      </c>
      <c r="B223" s="3" t="s">
        <v>448</v>
      </c>
      <c r="C223" s="4" t="n">
        <v>2115632</v>
      </c>
      <c r="D223" s="4" t="n">
        <v>2267456</v>
      </c>
    </row>
    <row r="224" customFormat="false" ht="15" hidden="false" customHeight="false" outlineLevel="0" collapsed="false">
      <c r="A224" s="5" t="s">
        <v>449</v>
      </c>
      <c r="B224" s="5" t="s">
        <v>450</v>
      </c>
      <c r="C224" s="6" t="n">
        <v>2021445</v>
      </c>
      <c r="D224" s="6" t="n">
        <v>2040286</v>
      </c>
    </row>
    <row r="225" customFormat="false" ht="15" hidden="false" customHeight="false" outlineLevel="0" collapsed="false">
      <c r="A225" s="3" t="s">
        <v>451</v>
      </c>
      <c r="B225" s="3" t="s">
        <v>452</v>
      </c>
      <c r="C225" s="4" t="n">
        <v>2153239</v>
      </c>
      <c r="D225" s="4" t="n">
        <v>2222395</v>
      </c>
    </row>
    <row r="226" customFormat="false" ht="15" hidden="false" customHeight="false" outlineLevel="0" collapsed="false">
      <c r="A226" s="5" t="s">
        <v>453</v>
      </c>
      <c r="B226" s="5" t="s">
        <v>454</v>
      </c>
      <c r="C226" s="6" t="n">
        <v>2131797</v>
      </c>
      <c r="D226" s="6" t="n">
        <v>2253304</v>
      </c>
    </row>
    <row r="227" customFormat="false" ht="15" hidden="false" customHeight="false" outlineLevel="0" collapsed="false">
      <c r="A227" s="3" t="s">
        <v>455</v>
      </c>
      <c r="B227" s="3" t="s">
        <v>456</v>
      </c>
      <c r="C227" s="4" t="n">
        <v>2069864</v>
      </c>
      <c r="D227" s="4" t="n">
        <v>2004057</v>
      </c>
    </row>
    <row r="228" customFormat="false" ht="15" hidden="false" customHeight="false" outlineLevel="0" collapsed="false">
      <c r="A228" s="5" t="s">
        <v>457</v>
      </c>
      <c r="B228" s="5" t="s">
        <v>458</v>
      </c>
      <c r="C228" s="6" t="n">
        <v>2193169</v>
      </c>
      <c r="D228" s="6" t="n">
        <v>2106057</v>
      </c>
    </row>
    <row r="229" customFormat="false" ht="15" hidden="false" customHeight="false" outlineLevel="0" collapsed="false">
      <c r="A229" s="3" t="s">
        <v>459</v>
      </c>
      <c r="B229" s="3" t="s">
        <v>460</v>
      </c>
      <c r="C229" s="4" t="n">
        <v>2233965</v>
      </c>
      <c r="D229" s="4" t="n">
        <v>2056307</v>
      </c>
    </row>
    <row r="230" customFormat="false" ht="15" hidden="false" customHeight="false" outlineLevel="0" collapsed="false">
      <c r="A230" s="5" t="s">
        <v>461</v>
      </c>
      <c r="B230" s="5" t="s">
        <v>462</v>
      </c>
      <c r="C230" s="6" t="n">
        <v>2235734</v>
      </c>
      <c r="D230" s="6" t="n">
        <v>2144938</v>
      </c>
    </row>
    <row r="231" customFormat="false" ht="15" hidden="false" customHeight="false" outlineLevel="0" collapsed="false">
      <c r="A231" s="3" t="s">
        <v>463</v>
      </c>
      <c r="B231" s="3" t="s">
        <v>464</v>
      </c>
      <c r="C231" s="4" t="n">
        <v>2135146</v>
      </c>
      <c r="D231" s="4" t="n">
        <v>1922359</v>
      </c>
    </row>
    <row r="232" customFormat="false" ht="15" hidden="false" customHeight="false" outlineLevel="0" collapsed="false">
      <c r="A232" s="5" t="s">
        <v>465</v>
      </c>
      <c r="B232" s="5" t="s">
        <v>466</v>
      </c>
      <c r="C232" s="6" t="n">
        <v>2098600</v>
      </c>
      <c r="D232" s="6" t="n">
        <v>1973323</v>
      </c>
    </row>
    <row r="233" customFormat="false" ht="15" hidden="false" customHeight="false" outlineLevel="0" collapsed="false">
      <c r="A233" s="3" t="s">
        <v>467</v>
      </c>
      <c r="B233" s="3" t="s">
        <v>468</v>
      </c>
      <c r="C233" s="4" t="n">
        <v>2252586</v>
      </c>
      <c r="D233" s="4" t="n">
        <v>2554813</v>
      </c>
    </row>
    <row r="234" customFormat="false" ht="15" hidden="false" customHeight="false" outlineLevel="0" collapsed="false">
      <c r="A234" s="5" t="s">
        <v>469</v>
      </c>
      <c r="B234" s="5" t="s">
        <v>470</v>
      </c>
      <c r="C234" s="6" t="n">
        <v>2255028</v>
      </c>
      <c r="D234" s="6" t="n">
        <v>2359636</v>
      </c>
    </row>
    <row r="235" customFormat="false" ht="15" hidden="false" customHeight="false" outlineLevel="0" collapsed="false">
      <c r="A235" s="3" t="s">
        <v>471</v>
      </c>
      <c r="B235" s="3" t="s">
        <v>472</v>
      </c>
      <c r="C235" s="4" t="n">
        <v>2136563</v>
      </c>
      <c r="D235" s="4" t="n">
        <v>2293128</v>
      </c>
    </row>
    <row r="236" customFormat="false" ht="15" hidden="false" customHeight="false" outlineLevel="0" collapsed="false">
      <c r="A236" s="5" t="s">
        <v>473</v>
      </c>
      <c r="B236" s="5" t="s">
        <v>474</v>
      </c>
      <c r="C236" s="6" t="n">
        <v>2135149</v>
      </c>
      <c r="D236" s="6" t="n">
        <v>2146065</v>
      </c>
    </row>
    <row r="237" customFormat="false" ht="15" hidden="false" customHeight="false" outlineLevel="0" collapsed="false">
      <c r="A237" s="3" t="s">
        <v>475</v>
      </c>
      <c r="B237" s="3" t="s">
        <v>476</v>
      </c>
      <c r="C237" s="4" t="n">
        <v>2208794</v>
      </c>
      <c r="D237" s="4" t="n">
        <v>2283277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36" hidden="false" customHeight="true" outlineLevel="0" collapsed="false">
      <c r="A1" s="11" t="s">
        <v>488</v>
      </c>
      <c r="B1" s="11"/>
      <c r="C1" s="11"/>
      <c r="D1" s="11"/>
      <c r="E1" s="11"/>
      <c r="F1" s="11"/>
      <c r="G1" s="11"/>
      <c r="H1" s="11"/>
    </row>
    <row r="3" customFormat="false" ht="21.75" hidden="false" customHeight="true" outlineLevel="0" collapsed="false">
      <c r="A3" s="12" t="s">
        <v>489</v>
      </c>
      <c r="B3" s="12"/>
      <c r="C3" s="13" t="s">
        <v>490</v>
      </c>
      <c r="D3" s="13"/>
      <c r="E3" s="14" t="s">
        <v>491</v>
      </c>
      <c r="F3" s="14"/>
    </row>
    <row r="4" customFormat="false" ht="30" hidden="false" customHeight="true" outlineLevel="0" collapsed="false">
      <c r="A4" s="15" t="n">
        <f aca="false">SUM('Raw Data'!D3:D237)</f>
        <v>483683399</v>
      </c>
      <c r="B4" s="15"/>
      <c r="C4" s="15" t="n">
        <f aca="false">SUM('Raw Data'!E3:E237)</f>
        <v>483979514</v>
      </c>
      <c r="D4" s="15"/>
      <c r="E4" s="15" t="n">
        <f aca="false">AVERAGE('Raw Data'!D3:D237)</f>
        <v>2058227.22978723</v>
      </c>
      <c r="F4" s="15"/>
    </row>
    <row r="7" customFormat="false" ht="21.75" hidden="false" customHeight="true" outlineLevel="0" collapsed="false">
      <c r="A7" s="16" t="s">
        <v>492</v>
      </c>
      <c r="B7" s="16"/>
      <c r="C7" s="17" t="s">
        <v>493</v>
      </c>
      <c r="D7" s="17"/>
      <c r="E7" s="18" t="s">
        <v>494</v>
      </c>
      <c r="F7" s="18"/>
    </row>
    <row r="8" customFormat="false" ht="30" hidden="false" customHeight="true" outlineLevel="0" collapsed="false">
      <c r="A8" s="15" t="n">
        <f aca="false">MAX('Raw Data'!D3:D237)</f>
        <v>2827187</v>
      </c>
      <c r="B8" s="15"/>
      <c r="C8" s="15" t="n">
        <f aca="false">MIN('Raw Data'!D3:D237)</f>
        <v>1205741</v>
      </c>
      <c r="D8" s="15"/>
      <c r="E8" s="15" t="n">
        <f aca="false">COUNTA('Raw Data'!A3:A237)</f>
        <v>235</v>
      </c>
      <c r="F8" s="15"/>
    </row>
  </sheetData>
  <mergeCells count="13">
    <mergeCell ref="A1:H1"/>
    <mergeCell ref="A3:B3"/>
    <mergeCell ref="C3:D3"/>
    <mergeCell ref="E3:F3"/>
    <mergeCell ref="A4:B4"/>
    <mergeCell ref="C4:D4"/>
    <mergeCell ref="E4:F4"/>
    <mergeCell ref="A7:B7"/>
    <mergeCell ref="C7:D7"/>
    <mergeCell ref="E7:F7"/>
    <mergeCell ref="A8:B8"/>
    <mergeCell ref="C8:D8"/>
    <mergeCell ref="E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2026-04-19T15:50:47Z</dcterms:created>
  <dc:creator>openpyxl</dc:creator>
  <dc:description/>
  <dc:language>en-US</dc:language>
  <cp:lastModifiedBy/>
  <dcterms:modified xsi:type="dcterms:W3CDTF">2026-04-19T15:50:56Z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